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terraweave-business-analysis\terraweave-business-analysis\"/>
    </mc:Choice>
  </mc:AlternateContent>
  <xr:revisionPtr revIDLastSave="0" documentId="13_ncr:1_{A662B65B-6F09-4217-B06A-8882C89800CB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01_Sales_Data" sheetId="1" r:id="rId1"/>
    <sheet name="Sheet5" sheetId="8" state="hidden" r:id="rId2"/>
    <sheet name="Sheet6" sheetId="9" state="hidden" r:id="rId3"/>
    <sheet name="02_Pivot_Tables" sheetId="4" state="hidden" r:id="rId4"/>
    <sheet name="02_Dashboard" sheetId="5" r:id="rId5"/>
    <sheet name="03_Inventory" sheetId="3" r:id="rId6"/>
  </sheets>
  <calcPr calcId="191029" iterateDelta="1E-4"/>
  <pivotCaches>
    <pivotCache cacheId="1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H2" i="1"/>
  <c r="D7" i="3"/>
  <c r="D6" i="3"/>
  <c r="D5" i="3"/>
  <c r="D4" i="3"/>
  <c r="D3" i="3"/>
  <c r="D2" i="3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K6" i="5"/>
  <c r="H6" i="5"/>
  <c r="E6" i="5"/>
  <c r="B6" i="5"/>
</calcChain>
</file>

<file path=xl/sharedStrings.xml><?xml version="1.0" encoding="utf-8"?>
<sst xmlns="http://schemas.openxmlformats.org/spreadsheetml/2006/main" count="1975" uniqueCount="229">
  <si>
    <t>Order ID</t>
  </si>
  <si>
    <t>Date</t>
  </si>
  <si>
    <t>Product</t>
  </si>
  <si>
    <t>Category</t>
  </si>
  <si>
    <t>Export Country</t>
  </si>
  <si>
    <t>Quantity</t>
  </si>
  <si>
    <t>Unit Price (USD)</t>
  </si>
  <si>
    <t>Revenue (USD)</t>
  </si>
  <si>
    <t>Order Status</t>
  </si>
  <si>
    <t>TW-1005</t>
  </si>
  <si>
    <t>Jute Area Rug</t>
  </si>
  <si>
    <t>Rugs</t>
  </si>
  <si>
    <t>Japan</t>
  </si>
  <si>
    <t>Delivered</t>
  </si>
  <si>
    <t>TW-1021</t>
  </si>
  <si>
    <t>Block-Print Table Runner</t>
  </si>
  <si>
    <t>Table Linen</t>
  </si>
  <si>
    <t>In Production</t>
  </si>
  <si>
    <t>TW-1003</t>
  </si>
  <si>
    <t>Handwoven Cushion Cover</t>
  </si>
  <si>
    <t>Cushions</t>
  </si>
  <si>
    <t>United Kingdom</t>
  </si>
  <si>
    <t>Shipped</t>
  </si>
  <si>
    <t>TW-1105</t>
  </si>
  <si>
    <t>TW-1062</t>
  </si>
  <si>
    <t>Nakshi Kantha Throw</t>
  </si>
  <si>
    <t>Throws</t>
  </si>
  <si>
    <t>TW-1146</t>
  </si>
  <si>
    <t>United States</t>
  </si>
  <si>
    <t>TW-1083</t>
  </si>
  <si>
    <t>Canada</t>
  </si>
  <si>
    <t>TW-1019</t>
  </si>
  <si>
    <t>TW-1087</t>
  </si>
  <si>
    <t>Seagrass Basket Set</t>
  </si>
  <si>
    <t>Storage</t>
  </si>
  <si>
    <t>TW-1104</t>
  </si>
  <si>
    <t>TW-1130</t>
  </si>
  <si>
    <t>TW-1128</t>
  </si>
  <si>
    <t>TW-1042</t>
  </si>
  <si>
    <t>TW-1020</t>
  </si>
  <si>
    <t>Macrame Wall Hanging</t>
  </si>
  <si>
    <t>Wall Decor</t>
  </si>
  <si>
    <t>Pending</t>
  </si>
  <si>
    <t>TW-1015</t>
  </si>
  <si>
    <t>TW-1033</t>
  </si>
  <si>
    <t>Australia</t>
  </si>
  <si>
    <t>TW-1075</t>
  </si>
  <si>
    <t>TW-1112</t>
  </si>
  <si>
    <t>Germany</t>
  </si>
  <si>
    <t>TW-1051</t>
  </si>
  <si>
    <t>TW-1060</t>
  </si>
  <si>
    <t>TW-1008</t>
  </si>
  <si>
    <t>TW-1010</t>
  </si>
  <si>
    <t>TW-1101</t>
  </si>
  <si>
    <t>TW-1027</t>
  </si>
  <si>
    <t>TW-1082</t>
  </si>
  <si>
    <t>TW-1002</t>
  </si>
  <si>
    <t>TW-1129</t>
  </si>
  <si>
    <t>TW-1055</t>
  </si>
  <si>
    <t>TW-1086</t>
  </si>
  <si>
    <t>TW-1113</t>
  </si>
  <si>
    <t>TW-1038</t>
  </si>
  <si>
    <t>TW-1156</t>
  </si>
  <si>
    <t>TW-1111</t>
  </si>
  <si>
    <t>TW-1154</t>
  </si>
  <si>
    <t>TW-1142</t>
  </si>
  <si>
    <t>TW-1028</t>
  </si>
  <si>
    <t>TW-1159</t>
  </si>
  <si>
    <t>TW-1114</t>
  </si>
  <si>
    <t>TW-1059</t>
  </si>
  <si>
    <t>TW-1013</t>
  </si>
  <si>
    <t>TW-1064</t>
  </si>
  <si>
    <t>TW-1108</t>
  </si>
  <si>
    <t>TW-1141</t>
  </si>
  <si>
    <t>TW-1081</t>
  </si>
  <si>
    <t>TW-1078</t>
  </si>
  <si>
    <t>TW-1153</t>
  </si>
  <si>
    <t>TW-1095</t>
  </si>
  <si>
    <t>TW-1052</t>
  </si>
  <si>
    <t>TW-1094</t>
  </si>
  <si>
    <t>TW-1032</t>
  </si>
  <si>
    <t>TW-1041</t>
  </si>
  <si>
    <t>TW-1050</t>
  </si>
  <si>
    <t>TW-1085</t>
  </si>
  <si>
    <t>TW-1122</t>
  </si>
  <si>
    <t>TW-1158</t>
  </si>
  <si>
    <t>TW-1116</t>
  </si>
  <si>
    <t>TW-1017</t>
  </si>
  <si>
    <t>TW-1124</t>
  </si>
  <si>
    <t>TW-1073</t>
  </si>
  <si>
    <t>TW-1023</t>
  </si>
  <si>
    <t>TW-1007</t>
  </si>
  <si>
    <t>TW-1057</t>
  </si>
  <si>
    <t>TW-1071</t>
  </si>
  <si>
    <t>TW-1139</t>
  </si>
  <si>
    <t>TW-1058</t>
  </si>
  <si>
    <t>TW-1039</t>
  </si>
  <si>
    <t>TW-1069</t>
  </si>
  <si>
    <t>TW-1103</t>
  </si>
  <si>
    <t>TW-1056</t>
  </si>
  <si>
    <t>TW-1079</t>
  </si>
  <si>
    <t>TW-1157</t>
  </si>
  <si>
    <t>TW-1024</t>
  </si>
  <si>
    <t>TW-1076</t>
  </si>
  <si>
    <t>TW-1030</t>
  </si>
  <si>
    <t>TW-1155</t>
  </si>
  <si>
    <t>TW-1144</t>
  </si>
  <si>
    <t>TW-1014</t>
  </si>
  <si>
    <t>TW-1070</t>
  </si>
  <si>
    <t>TW-1006</t>
  </si>
  <si>
    <t>TW-1127</t>
  </si>
  <si>
    <t>TW-1026</t>
  </si>
  <si>
    <t>TW-1011</t>
  </si>
  <si>
    <t>TW-1107</t>
  </si>
  <si>
    <t>TW-1053</t>
  </si>
  <si>
    <t>TW-1109</t>
  </si>
  <si>
    <t>TW-1102</t>
  </si>
  <si>
    <t>TW-1120</t>
  </si>
  <si>
    <t>TW-1137</t>
  </si>
  <si>
    <t>TW-1148</t>
  </si>
  <si>
    <t>TW-1065</t>
  </si>
  <si>
    <t>TW-1084</t>
  </si>
  <si>
    <t>TW-1097</t>
  </si>
  <si>
    <t>TW-1123</t>
  </si>
  <si>
    <t>TW-1072</t>
  </si>
  <si>
    <t>TW-1092</t>
  </si>
  <si>
    <t>TW-1080</t>
  </si>
  <si>
    <t>TW-1089</t>
  </si>
  <si>
    <t>TW-1134</t>
  </si>
  <si>
    <t>TW-1090</t>
  </si>
  <si>
    <t>TW-1031</t>
  </si>
  <si>
    <t>TW-1043</t>
  </si>
  <si>
    <t>TW-1150</t>
  </si>
  <si>
    <t>TW-1067</t>
  </si>
  <si>
    <t>TW-1088</t>
  </si>
  <si>
    <t>TW-1035</t>
  </si>
  <si>
    <t>TW-1106</t>
  </si>
  <si>
    <t>TW-1034</t>
  </si>
  <si>
    <t>TW-1044</t>
  </si>
  <si>
    <t>TW-1098</t>
  </si>
  <si>
    <t>TW-1118</t>
  </si>
  <si>
    <t>TW-1121</t>
  </si>
  <si>
    <t>TW-1131</t>
  </si>
  <si>
    <t>TW-1160</t>
  </si>
  <si>
    <t>TW-1151</t>
  </si>
  <si>
    <t>TW-1152</t>
  </si>
  <si>
    <t>TW-1126</t>
  </si>
  <si>
    <t>TW-1046</t>
  </si>
  <si>
    <t>TW-1115</t>
  </si>
  <si>
    <t>TW-1025</t>
  </si>
  <si>
    <t>TW-1093</t>
  </si>
  <si>
    <t>TW-1143</t>
  </si>
  <si>
    <t>TW-1045</t>
  </si>
  <si>
    <t>TW-1140</t>
  </si>
  <si>
    <t>TW-1040</t>
  </si>
  <si>
    <t>TW-1061</t>
  </si>
  <si>
    <t>TW-1077</t>
  </si>
  <si>
    <t>TW-1063</t>
  </si>
  <si>
    <t>TW-1132</t>
  </si>
  <si>
    <t>TW-1048</t>
  </si>
  <si>
    <t>TW-1096</t>
  </si>
  <si>
    <t>TW-1145</t>
  </si>
  <si>
    <t>TW-1009</t>
  </si>
  <si>
    <t>TW-1018</t>
  </si>
  <si>
    <t>TW-1049</t>
  </si>
  <si>
    <t>TW-1147</t>
  </si>
  <si>
    <t>TW-1047</t>
  </si>
  <si>
    <t>TW-1029</t>
  </si>
  <si>
    <t>TW-1133</t>
  </si>
  <si>
    <t>TW-1117</t>
  </si>
  <si>
    <t>TW-1135</t>
  </si>
  <si>
    <t>TW-1100</t>
  </si>
  <si>
    <t>TW-1110</t>
  </si>
  <si>
    <t>TW-1091</t>
  </si>
  <si>
    <t>TW-1001</t>
  </si>
  <si>
    <t>TW-1022</t>
  </si>
  <si>
    <t>TW-1004</t>
  </si>
  <si>
    <t>TW-1054</t>
  </si>
  <si>
    <t>TW-1016</t>
  </si>
  <si>
    <t>TW-1036</t>
  </si>
  <si>
    <t>TW-1068</t>
  </si>
  <si>
    <t>TW-1136</t>
  </si>
  <si>
    <t>TW-1037</t>
  </si>
  <si>
    <t>TW-1099</t>
  </si>
  <si>
    <t>TW-1012</t>
  </si>
  <si>
    <t>TW-1074</t>
  </si>
  <si>
    <t>TW-1125</t>
  </si>
  <si>
    <t>TW-1149</t>
  </si>
  <si>
    <t>TW-1066</t>
  </si>
  <si>
    <t>TW-1119</t>
  </si>
  <si>
    <t>TW-1138</t>
  </si>
  <si>
    <t>TerraWeave  |  Sales &amp; Inventory Dashboard</t>
  </si>
  <si>
    <t>TOTAL REVENUE</t>
  </si>
  <si>
    <t>TOTAL ORDERS</t>
  </si>
  <si>
    <t>AVG ORDER VALUE</t>
  </si>
  <si>
    <t>UNITS SOLD</t>
  </si>
  <si>
    <t>Revenue by Month</t>
  </si>
  <si>
    <t>Revenue by Product</t>
  </si>
  <si>
    <t>Revenue by Export Country</t>
  </si>
  <si>
    <t>Orders by Status</t>
  </si>
  <si>
    <t>Month</t>
  </si>
  <si>
    <t>Revenue</t>
  </si>
  <si>
    <t>Country</t>
  </si>
  <si>
    <t>Status</t>
  </si>
  <si>
    <t>Orders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</si>
  <si>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</si>
  <si>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</si>
  <si>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</si>
  <si>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</si>
  <si>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</si>
  <si>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</si>
  <si>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</si>
  <si>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</si>
  <si>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</si>
  <si>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</si>
  <si>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</si>
  <si>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</si>
  <si>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Current Stock</t>
  </si>
  <si>
    <t>Reorder Level</t>
  </si>
  <si>
    <t>Month Number</t>
  </si>
  <si>
    <t>Sum of Revenue (USD)</t>
  </si>
  <si>
    <t>Row Labels</t>
  </si>
  <si>
    <t>Grand Total</t>
  </si>
  <si>
    <t>Count of Order ID</t>
  </si>
  <si>
    <t>Average Order Value</t>
  </si>
  <si>
    <t>Total Orders</t>
  </si>
  <si>
    <t>Units sold</t>
  </si>
  <si>
    <t>Values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</si>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</sst>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$#,##0.00"/>
    <numFmt numFmtId="166" formatCode="\$#,##0"/>
    <numFmt numFmtId="167" formatCode="&quot;$&quot;#,##0"/>
  </numFmts>
  <fonts count="11" x14ac:knownFonts="1">
    <font>
      <sz val="11"/>
      <color theme="1"/>
      <name val="Calibri"/>
      <family val="2"/>
      <charset val="1"/>
    </font>
    <font>
      <sz val="10"/>
      <color rgb="FF000000"/>
      <name val="Arial"/>
      <charset val="1"/>
    </font>
    <font>
      <sz val="9"/>
      <color rgb="FF6B6B6B"/>
      <name val="Arial"/>
      <charset val="1"/>
    </font>
    <font>
      <b/>
      <sz val="11"/>
      <color theme="1"/>
      <name val="Arial"/>
      <family val="2"/>
    </font>
    <font>
      <b/>
      <sz val="20"/>
      <name val="Arial"/>
      <family val="2"/>
    </font>
    <font>
      <b/>
      <sz val="22"/>
      <color theme="1"/>
      <name val="Arial"/>
      <family val="2"/>
    </font>
    <font>
      <b/>
      <sz val="9"/>
      <color rgb="FF6B6B6B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B4EB"/>
        <bgColor rgb="FF333333"/>
      </patternFill>
    </fill>
    <fill>
      <patternFill patternType="solid">
        <fgColor rgb="FFF9DBF5"/>
        <bgColor rgb="FFF9F9F9"/>
      </patternFill>
    </fill>
    <fill>
      <patternFill patternType="solid">
        <fgColor rgb="FFF2B4EB"/>
        <bgColor indexed="64"/>
      </patternFill>
    </fill>
    <fill>
      <patternFill patternType="solid">
        <fgColor rgb="FFF9DBF5"/>
        <bgColor indexed="64"/>
      </patternFill>
    </fill>
  </fills>
  <borders count="16">
    <border>
      <left/>
      <right/>
      <top/>
      <bottom/>
      <diagonal/>
    </border>
    <border>
      <left style="thin">
        <color rgb="FFD0CABB"/>
      </left>
      <right style="thin">
        <color rgb="FFD0CABB"/>
      </right>
      <top style="thin">
        <color rgb="FFD0CABB"/>
      </top>
      <bottom style="thin">
        <color rgb="FFD0CABB"/>
      </bottom>
      <diagonal/>
    </border>
    <border>
      <left/>
      <right style="thin">
        <color rgb="FFD0CABB"/>
      </right>
      <top style="thin">
        <color rgb="FFD0CABB"/>
      </top>
      <bottom style="thin">
        <color rgb="FFD0CABB"/>
      </bottom>
      <diagonal/>
    </border>
    <border>
      <left style="thin">
        <color rgb="FFD0CABB"/>
      </left>
      <right/>
      <top style="thin">
        <color rgb="FFD0CABB"/>
      </top>
      <bottom style="thin">
        <color rgb="FFD0CABB"/>
      </bottom>
      <diagonal/>
    </border>
    <border>
      <left/>
      <right style="thin">
        <color rgb="FFD0CABB"/>
      </right>
      <top/>
      <bottom style="thin">
        <color rgb="FFD0CABB"/>
      </bottom>
      <diagonal/>
    </border>
    <border>
      <left style="thin">
        <color rgb="FFD0CABB"/>
      </left>
      <right style="thin">
        <color rgb="FFD0CABB"/>
      </right>
      <top/>
      <bottom style="thin">
        <color rgb="FFD0CABB"/>
      </bottom>
      <diagonal/>
    </border>
    <border>
      <left style="thin">
        <color rgb="FFD0CABB"/>
      </left>
      <right/>
      <top/>
      <bottom style="thin">
        <color rgb="FFD0CABB"/>
      </bottom>
      <diagonal/>
    </border>
    <border>
      <left/>
      <right style="thin">
        <color rgb="FFD0CABB"/>
      </right>
      <top style="thin">
        <color rgb="FFD0CABB"/>
      </top>
      <bottom/>
      <diagonal/>
    </border>
    <border>
      <left style="thin">
        <color rgb="FFD0CABB"/>
      </left>
      <right style="thin">
        <color rgb="FFD0CABB"/>
      </right>
      <top style="thin">
        <color rgb="FFD0CABB"/>
      </top>
      <bottom/>
      <diagonal/>
    </border>
    <border>
      <left style="thin">
        <color rgb="FFD0CABB"/>
      </left>
      <right/>
      <top style="thin">
        <color rgb="FFD0CAB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Font="1" applyFill="1"/>
    <xf numFmtId="0" fontId="3" fillId="2" borderId="1" xfId="0" applyFont="1" applyFill="1" applyBorder="1" applyAlignment="1">
      <alignment horizontal="center" vertical="center"/>
    </xf>
    <xf numFmtId="166" fontId="5" fillId="3" borderId="0" xfId="0" applyNumberFormat="1" applyFont="1" applyFill="1" applyBorder="1" applyAlignment="1">
      <alignment horizontal="left" vertical="center" indent="1"/>
    </xf>
    <xf numFmtId="3" fontId="5" fillId="3" borderId="0" xfId="0" applyNumberFormat="1" applyFont="1" applyFill="1" applyBorder="1" applyAlignment="1">
      <alignment horizontal="left" vertical="center" indent="1"/>
    </xf>
    <xf numFmtId="0" fontId="1" fillId="0" borderId="2" xfId="0" applyFont="1" applyBorder="1"/>
    <xf numFmtId="0" fontId="1" fillId="0" borderId="3" xfId="0" applyFont="1" applyBorder="1"/>
    <xf numFmtId="0" fontId="1" fillId="0" borderId="6" xfId="0" applyFont="1" applyBorder="1"/>
    <xf numFmtId="0" fontId="1" fillId="0" borderId="7" xfId="0" applyFont="1" applyBorder="1"/>
    <xf numFmtId="164" fontId="1" fillId="0" borderId="8" xfId="0" applyNumberFormat="1" applyFont="1" applyBorder="1"/>
    <xf numFmtId="0" fontId="1" fillId="0" borderId="8" xfId="0" applyFont="1" applyBorder="1"/>
    <xf numFmtId="165" fontId="1" fillId="0" borderId="8" xfId="0" applyNumberFormat="1" applyFont="1" applyBorder="1"/>
    <xf numFmtId="0" fontId="1" fillId="0" borderId="9" xfId="0" applyFont="1" applyBorder="1"/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" fillId="0" borderId="3" xfId="0" applyNumberFormat="1" applyFont="1" applyBorder="1"/>
    <xf numFmtId="0" fontId="1" fillId="0" borderId="6" xfId="0" applyNumberFormat="1" applyFont="1" applyBorder="1"/>
    <xf numFmtId="0" fontId="1" fillId="0" borderId="9" xfId="0" applyNumberFormat="1" applyFont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" fontId="0" fillId="0" borderId="0" xfId="0" applyNumberFormat="1"/>
    <xf numFmtId="0" fontId="6" fillId="3" borderId="0" xfId="0" applyFont="1" applyFill="1" applyBorder="1" applyAlignment="1">
      <alignment horizontal="left" indent="1"/>
    </xf>
    <xf numFmtId="14" fontId="0" fillId="0" borderId="0" xfId="0" applyNumberFormat="1"/>
    <xf numFmtId="0" fontId="4" fillId="2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1" fontId="7" fillId="0" borderId="13" xfId="0" applyNumberFormat="1" applyFont="1" applyBorder="1" applyAlignment="1">
      <alignment horizontal="center"/>
    </xf>
    <xf numFmtId="0" fontId="7" fillId="5" borderId="14" xfId="0" applyFont="1" applyFill="1" applyBorder="1" applyAlignment="1">
      <alignment horizontal="center"/>
    </xf>
    <xf numFmtId="1" fontId="7" fillId="5" borderId="15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7" fillId="4" borderId="10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0" borderId="13" xfId="0" applyNumberFormat="1" applyFont="1" applyBorder="1" applyAlignment="1">
      <alignment horizontal="center"/>
    </xf>
    <xf numFmtId="0" fontId="7" fillId="5" borderId="15" xfId="0" applyNumberFormat="1" applyFont="1" applyFill="1" applyBorder="1" applyAlignment="1">
      <alignment horizontal="center"/>
    </xf>
    <xf numFmtId="0" fontId="6" fillId="0" borderId="0" xfId="0" applyFont="1" applyFill="1" applyBorder="1" applyAlignment="1"/>
    <xf numFmtId="0" fontId="7" fillId="0" borderId="0" xfId="0" applyFont="1" applyAlignment="1"/>
    <xf numFmtId="0" fontId="10" fillId="0" borderId="0" xfId="0" applyFont="1"/>
    <xf numFmtId="0" fontId="9" fillId="0" borderId="0" xfId="0" applyFont="1" applyAlignment="1">
      <alignment vertical="center"/>
    </xf>
  </cellXfs>
  <cellStyles count="1">
    <cellStyle name="Normal" xfId="0" builtinId="0"/>
  </cellStyles>
  <dxfs count="143"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rgb="FFF2B4EB"/>
        </patternFill>
      </fill>
    </dxf>
    <dxf>
      <fill>
        <patternFill patternType="solid">
          <bgColor rgb="FFF2B4EB"/>
        </patternFill>
      </fill>
    </dxf>
    <dxf>
      <fill>
        <patternFill patternType="solid">
          <bgColor rgb="FFF9DBF5"/>
        </patternFill>
      </fill>
    </dxf>
    <dxf>
      <fill>
        <patternFill patternType="solid">
          <bgColor rgb="FFF9DBF5"/>
        </patternFill>
      </fill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9DBF5"/>
        </patternFill>
      </fill>
    </dxf>
    <dxf>
      <fill>
        <patternFill>
          <bgColor rgb="FFF2B4EB"/>
        </patternFill>
      </fill>
    </dxf>
    <dxf>
      <fill>
        <patternFill>
          <bgColor rgb="FFF2B4EB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9DBF5"/>
        </patternFill>
      </fill>
    </dxf>
    <dxf>
      <fill>
        <patternFill patternType="solid">
          <bgColor rgb="FFF9DBF5"/>
        </patternFill>
      </fill>
    </dxf>
    <dxf>
      <fill>
        <patternFill patternType="solid">
          <bgColor rgb="FFF2B4EB"/>
        </patternFill>
      </fill>
    </dxf>
    <dxf>
      <fill>
        <patternFill patternType="solid">
          <bgColor rgb="FFF2B4EB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rgb="FFF9DBF5"/>
        </patternFill>
      </fill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rgb="FFF2B4EB"/>
        </patternFill>
      </fill>
    </dxf>
    <dxf>
      <fill>
        <patternFill>
          <bgColor rgb="FFF2B4EB"/>
        </patternFill>
      </fill>
    </dxf>
    <dxf>
      <fill>
        <patternFill patternType="solid">
          <bgColor rgb="FFF9DBF5"/>
        </patternFill>
      </fill>
    </dxf>
    <dxf>
      <fill>
        <patternFill patternType="solid">
          <bgColor rgb="FFF9DBF5"/>
        </patternFill>
      </fill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0" formatCode="General"/>
      <border diagonalUp="0" diagonalDown="0">
        <left style="thin">
          <color rgb="FFD0CABB"/>
        </left>
        <right/>
        <top style="thin">
          <color rgb="FFD0CABB"/>
        </top>
        <bottom style="thin">
          <color rgb="FFD0CABB"/>
        </bottom>
        <vertical/>
        <horizontal/>
      </border>
    </dxf>
    <dxf>
      <font>
        <b/>
        <sz val="10"/>
        <color rgb="FF0F5132"/>
        <name val="Arial"/>
        <charset val="1"/>
      </font>
      <fill>
        <patternFill>
          <bgColor rgb="FFD4EDDA"/>
        </patternFill>
      </fill>
    </dxf>
    <dxf>
      <font>
        <b/>
        <sz val="10"/>
        <color rgb="FF842029"/>
        <name val="Arial"/>
        <charset val="1"/>
      </font>
      <fill>
        <patternFill>
          <bgColor rgb="FFF8D7D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0" formatCode="General"/>
      <border diagonalUp="0" diagonalDown="0">
        <left style="thin">
          <color rgb="FFD0CABB"/>
        </left>
        <right/>
        <top style="thin">
          <color rgb="FFD0CABB"/>
        </top>
        <bottom style="thin">
          <color rgb="FFD0CABB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F2B4E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0CABB"/>
        </left>
        <right style="thin">
          <color rgb="FFD0CABB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border diagonalUp="0" diagonalDown="0">
        <left style="thin">
          <color rgb="FFD0CABB"/>
        </left>
        <right/>
        <top style="thin">
          <color rgb="FFD0CABB"/>
        </top>
        <bottom style="thin">
          <color rgb="FFD0CA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65" formatCode="\$#,##0.00"/>
      <border diagonalUp="0" diagonalDown="0">
        <left style="thin">
          <color rgb="FFD0CABB"/>
        </left>
        <right style="thin">
          <color rgb="FFD0CABB"/>
        </right>
        <top style="thin">
          <color rgb="FFD0CABB"/>
        </top>
        <bottom style="thin">
          <color rgb="FFD0CA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65" formatCode="\$#,##0.00"/>
      <border diagonalUp="0" diagonalDown="0">
        <left style="thin">
          <color rgb="FFD0CABB"/>
        </left>
        <right style="thin">
          <color rgb="FFD0CABB"/>
        </right>
        <top style="thin">
          <color rgb="FFD0CABB"/>
        </top>
        <bottom style="thin">
          <color rgb="FFD0CA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border diagonalUp="0" diagonalDown="0">
        <left style="thin">
          <color rgb="FFD0CABB"/>
        </left>
        <right style="thin">
          <color rgb="FFD0CABB"/>
        </right>
        <top style="thin">
          <color rgb="FFD0CABB"/>
        </top>
        <bottom style="thin">
          <color rgb="FFD0CA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border diagonalUp="0" diagonalDown="0">
        <left style="thin">
          <color rgb="FFD0CABB"/>
        </left>
        <right style="thin">
          <color rgb="FFD0CABB"/>
        </right>
        <top style="thin">
          <color rgb="FFD0CABB"/>
        </top>
        <bottom style="thin">
          <color rgb="FFD0CA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border diagonalUp="0" diagonalDown="0">
        <left style="thin">
          <color rgb="FFD0CABB"/>
        </left>
        <right style="thin">
          <color rgb="FFD0CABB"/>
        </right>
        <top style="thin">
          <color rgb="FFD0CABB"/>
        </top>
        <bottom style="thin">
          <color rgb="FFD0CA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border diagonalUp="0" diagonalDown="0">
        <left style="thin">
          <color rgb="FFD0CABB"/>
        </left>
        <right style="thin">
          <color rgb="FFD0CABB"/>
        </right>
        <top style="thin">
          <color rgb="FFD0CABB"/>
        </top>
        <bottom style="thin">
          <color rgb="FFD0CA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64" formatCode="yyyy\-mm\-dd"/>
      <border diagonalUp="0" diagonalDown="0">
        <left style="thin">
          <color rgb="FFD0CABB"/>
        </left>
        <right style="thin">
          <color rgb="FFD0CABB"/>
        </right>
        <top style="thin">
          <color rgb="FFD0CABB"/>
        </top>
        <bottom style="thin">
          <color rgb="FFD0CA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border diagonalUp="0" diagonalDown="0">
        <left/>
        <right style="thin">
          <color rgb="FFD0CABB"/>
        </right>
        <top style="thin">
          <color rgb="FFD0CABB"/>
        </top>
        <bottom style="thin">
          <color rgb="FFD0CABB"/>
        </bottom>
        <vertical/>
        <horizontal/>
      </border>
    </dxf>
    <dxf>
      <border outline="0">
        <top style="thin">
          <color rgb="FFD0CABB"/>
        </top>
      </border>
    </dxf>
    <dxf>
      <border outline="0">
        <bottom style="thin">
          <color rgb="FFD0CABB"/>
        </bottom>
      </border>
    </dxf>
    <dxf>
      <border outline="0">
        <left style="thin">
          <color rgb="FFD0CABB"/>
        </left>
        <right style="thin">
          <color rgb="FFD0CABB"/>
        </right>
        <top style="thin">
          <color rgb="FFD0CABB"/>
        </top>
        <bottom style="thin">
          <color rgb="FFD0CABB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6B6B"/>
      <rgbColor rgb="FF800080"/>
      <rgbColor rgb="FF008080"/>
      <rgbColor rgb="FFD0CABB"/>
      <rgbColor rgb="FF878787"/>
      <rgbColor rgb="FF9999FF"/>
      <rgbColor rgb="FFC0504D"/>
      <rgbColor rgb="FFF4F1EA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4A7EBB"/>
      <rgbColor rgb="FF33CCCC"/>
      <rgbColor rgb="FF9BBB59"/>
      <rgbColor rgb="FFFFCC00"/>
      <rgbColor rgb="FFFF9900"/>
      <rgbColor rgb="FFFF6600"/>
      <rgbColor rgb="FF8064A2"/>
      <rgbColor rgb="FF4F81BD"/>
      <rgbColor rgb="FF1F3A5F"/>
      <rgbColor rgb="FF2E7D74"/>
      <rgbColor rgb="FF0F5132"/>
      <rgbColor rgb="FF333300"/>
      <rgbColor rgb="FF842029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99FF"/>
      <color rgb="FFF2B4EB"/>
      <color rgb="FFF9DBF5"/>
      <color rgb="FF6B13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[Sales_dashboard.xlsx]02_Dashboard!PivotTable6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Revenue Trend by Month</a:t>
            </a:r>
          </a:p>
        </c:rich>
      </c:tx>
      <c:layout>
        <c:manualLayout>
          <c:xMode val="edge"/>
          <c:yMode val="edge"/>
          <c:x val="0.27861111111111109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FF99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'02_Dashboard'!$C$10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99FF"/>
              </a:solidFill>
              <a:round/>
            </a:ln>
            <a:effectLst/>
          </c:spPr>
          <c:marker>
            <c:symbol val="none"/>
          </c:marker>
          <c:cat>
            <c:strRef>
              <c:f>'02_Dashboard'!$B$11:$B$23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'02_Dashboard'!$C$11:$C$23</c:f>
              <c:numCache>
                <c:formatCode>0</c:formatCode>
                <c:ptCount val="12"/>
                <c:pt idx="0">
                  <c:v>31602.189999999995</c:v>
                </c:pt>
                <c:pt idx="1">
                  <c:v>40013.199999999997</c:v>
                </c:pt>
                <c:pt idx="2">
                  <c:v>32340.81</c:v>
                </c:pt>
                <c:pt idx="3">
                  <c:v>9843.7199999999993</c:v>
                </c:pt>
                <c:pt idx="4">
                  <c:v>44555.840000000004</c:v>
                </c:pt>
                <c:pt idx="5">
                  <c:v>8822.7199999999993</c:v>
                </c:pt>
                <c:pt idx="6">
                  <c:v>35181.800000000003</c:v>
                </c:pt>
                <c:pt idx="7">
                  <c:v>43724.84</c:v>
                </c:pt>
                <c:pt idx="8">
                  <c:v>28679.82</c:v>
                </c:pt>
                <c:pt idx="9">
                  <c:v>36619.31</c:v>
                </c:pt>
                <c:pt idx="10">
                  <c:v>24384.440000000002</c:v>
                </c:pt>
                <c:pt idx="11">
                  <c:v>36863.9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5D6-49E3-86FD-7DFDA084B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6357616"/>
        <c:axId val="1066366256"/>
      </c:lineChart>
      <c:catAx>
        <c:axId val="106635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66366256"/>
        <c:crosses val="autoZero"/>
        <c:auto val="1"/>
        <c:lblAlgn val="ctr"/>
        <c:lblOffset val="100"/>
        <c:noMultiLvlLbl val="0"/>
      </c:catAx>
      <c:valAx>
        <c:axId val="106636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66357616"/>
        <c:crosses val="autoZero"/>
        <c:crossBetween val="between"/>
        <c:majorUnit val="5000"/>
      </c:valAx>
      <c:spPr>
        <a:noFill/>
        <a:ln w="12700" cmpd="sng">
          <a:solidFill>
            <a:schemeClr val="accent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[Sales_dashboard.xlsx]02_Dashboard!PivotTable7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 i="0" u="none" strike="noStrike" kern="1200" spc="-1" baseline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Revenue by Product</a:t>
            </a:r>
          </a:p>
        </c:rich>
      </c:tx>
      <c:layout>
        <c:manualLayout>
          <c:xMode val="edge"/>
          <c:yMode val="edge"/>
          <c:x val="0.35482637512037613"/>
          <c:y val="6.00679996301275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2B4E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'02_Dashboard'!$F$10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2B4EB"/>
            </a:solidFill>
            <a:ln>
              <a:noFill/>
            </a:ln>
            <a:effectLst/>
          </c:spPr>
          <c:invertIfNegative val="0"/>
          <c:cat>
            <c:strRef>
              <c:f>'02_Dashboard'!$E$11:$E$17</c:f>
              <c:strCache>
                <c:ptCount val="6"/>
                <c:pt idx="0">
                  <c:v>Jute Area Rug</c:v>
                </c:pt>
                <c:pt idx="1">
                  <c:v>Nakshi Kantha Throw</c:v>
                </c:pt>
                <c:pt idx="2">
                  <c:v>Macrame Wall Hanging</c:v>
                </c:pt>
                <c:pt idx="3">
                  <c:v>Seagrass Basket Set</c:v>
                </c:pt>
                <c:pt idx="4">
                  <c:v>Block-Print Table Runner</c:v>
                </c:pt>
                <c:pt idx="5">
                  <c:v>Handwoven Cushion Cover</c:v>
                </c:pt>
              </c:strCache>
            </c:strRef>
          </c:cat>
          <c:val>
            <c:numRef>
              <c:f>'02_Dashboard'!$F$11:$F$17</c:f>
              <c:numCache>
                <c:formatCode>0</c:formatCode>
                <c:ptCount val="6"/>
                <c:pt idx="0">
                  <c:v>104778.49</c:v>
                </c:pt>
                <c:pt idx="1">
                  <c:v>101675.76000000002</c:v>
                </c:pt>
                <c:pt idx="2">
                  <c:v>69314.600000000006</c:v>
                </c:pt>
                <c:pt idx="3">
                  <c:v>44953.72</c:v>
                </c:pt>
                <c:pt idx="4">
                  <c:v>30270.920000000006</c:v>
                </c:pt>
                <c:pt idx="5">
                  <c:v>21639.100000000006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D5-4FD1-A058-C30EBF5FF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66360496"/>
        <c:axId val="1066368176"/>
      </c:barChart>
      <c:catAx>
        <c:axId val="10663604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66368176"/>
        <c:crosses val="autoZero"/>
        <c:auto val="1"/>
        <c:lblAlgn val="ctr"/>
        <c:lblOffset val="100"/>
        <c:noMultiLvlLbl val="0"/>
      </c:catAx>
      <c:valAx>
        <c:axId val="106636817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66360496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[Sales_dashboard.xlsx]02_Dashboard!PivotTable8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-1" baseline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Revenue by Export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'02_Dashboard'!$I$10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99FF"/>
            </a:solidFill>
            <a:ln>
              <a:noFill/>
            </a:ln>
            <a:effectLst/>
          </c:spPr>
          <c:invertIfNegative val="0"/>
          <c:cat>
            <c:strRef>
              <c:f>'02_Dashboard'!$H$11:$H$17</c:f>
              <c:strCache>
                <c:ptCount val="6"/>
                <c:pt idx="0">
                  <c:v>Australia</c:v>
                </c:pt>
                <c:pt idx="1">
                  <c:v>Canada</c:v>
                </c:pt>
                <c:pt idx="2">
                  <c:v>Germany</c:v>
                </c:pt>
                <c:pt idx="3">
                  <c:v>Japan</c:v>
                </c:pt>
                <c:pt idx="4">
                  <c:v>United Kingdom</c:v>
                </c:pt>
                <c:pt idx="5">
                  <c:v>United States</c:v>
                </c:pt>
              </c:strCache>
            </c:strRef>
          </c:cat>
          <c:val>
            <c:numRef>
              <c:f>'02_Dashboard'!$I$11:$I$17</c:f>
              <c:numCache>
                <c:formatCode>0</c:formatCode>
                <c:ptCount val="6"/>
                <c:pt idx="0">
                  <c:v>18568.599999999999</c:v>
                </c:pt>
                <c:pt idx="1">
                  <c:v>42199.35</c:v>
                </c:pt>
                <c:pt idx="2">
                  <c:v>69682.600000000006</c:v>
                </c:pt>
                <c:pt idx="3">
                  <c:v>50117.74</c:v>
                </c:pt>
                <c:pt idx="4">
                  <c:v>97220.67</c:v>
                </c:pt>
                <c:pt idx="5">
                  <c:v>94843.63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F-4FD8-AEA4-5329753EC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overlap val="-27"/>
        <c:axId val="1194308448"/>
        <c:axId val="1194313728"/>
      </c:barChart>
      <c:catAx>
        <c:axId val="119430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94313728"/>
        <c:crosses val="autoZero"/>
        <c:auto val="1"/>
        <c:lblAlgn val="ctr"/>
        <c:lblOffset val="100"/>
        <c:noMultiLvlLbl val="0"/>
      </c:catAx>
      <c:valAx>
        <c:axId val="119431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9430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[Sales_dashboard.xlsx]02_Dashboard!PivotTable9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-1" baseline="0">
                <a:solidFill>
                  <a:srgbClr val="000000"/>
                </a:solidFill>
                <a:latin typeface="Calibri"/>
              </a:rPr>
              <a:t>Orders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'02_Dashboard'!$L$10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'02_Dashboard'!$K$11:$K$15</c:f>
              <c:strCache>
                <c:ptCount val="4"/>
                <c:pt idx="0">
                  <c:v>Delivered</c:v>
                </c:pt>
                <c:pt idx="1">
                  <c:v>In Production</c:v>
                </c:pt>
                <c:pt idx="2">
                  <c:v>Pending</c:v>
                </c:pt>
                <c:pt idx="3">
                  <c:v>Shipped</c:v>
                </c:pt>
              </c:strCache>
            </c:strRef>
          </c:cat>
          <c:val>
            <c:numRef>
              <c:f>'02_Dashboard'!$L$11:$L$15</c:f>
              <c:numCache>
                <c:formatCode>General</c:formatCode>
                <c:ptCount val="4"/>
                <c:pt idx="0">
                  <c:v>83</c:v>
                </c:pt>
                <c:pt idx="1">
                  <c:v>26</c:v>
                </c:pt>
                <c:pt idx="2">
                  <c:v>16</c:v>
                </c:pt>
                <c:pt idx="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36-449D-8129-1B27C47C8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579120</xdr:colOff>
      <xdr:row>24</xdr:row>
      <xdr:rowOff>22860</xdr:rowOff>
    </xdr:from>
    <xdr:to>
      <xdr:col>5</xdr:col>
      <xdr:colOff>167640</xdr:colOff>
      <xdr:row>39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50A530-A4E1-4862-41F2-6C99C34305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807720</xdr:colOff>
      <xdr:row>24</xdr:row>
      <xdr:rowOff>15240</xdr:rowOff>
    </xdr:from>
    <xdr:to>
      <xdr:col>12</xdr:col>
      <xdr:colOff>38100</xdr:colOff>
      <xdr:row>39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72C900-53CC-57D3-1B2C-EF9D32300D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563880</xdr:colOff>
      <xdr:row>39</xdr:row>
      <xdr:rowOff>160020</xdr:rowOff>
    </xdr:from>
    <xdr:to>
      <xdr:col>5</xdr:col>
      <xdr:colOff>152400</xdr:colOff>
      <xdr:row>54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477183-145D-A0B6-4126-DBAB007FCF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822960</xdr:colOff>
      <xdr:row>39</xdr:row>
      <xdr:rowOff>144780</xdr:rowOff>
    </xdr:from>
    <xdr:to>
      <xdr:col>11</xdr:col>
      <xdr:colOff>121920</xdr:colOff>
      <xdr:row>54</xdr:row>
      <xdr:rowOff>106680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1A2B36A-4A5B-D4FC-F14B-D506C84B6C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31.235170370368" createdVersion="8" refreshedVersion="8" minRefreshableVersion="3" recordCount="160" xr:uid="{431BF790-6AB8-44AE-B71A-1D782C93AEEE}">
  <cacheSource type="worksheet">
    <worksheetSource name="Table2"/>
  </cacheSource>
  <cacheFields count="11">
    <cacheField name="Order ID" numFmtId="0">
      <sharedItems count="160">
        <s v="TW-1005"/>
        <s v="TW-1021"/>
        <s v="TW-1003"/>
        <s v="TW-1105"/>
        <s v="TW-1062"/>
        <s v="TW-1146"/>
        <s v="TW-1083"/>
        <s v="TW-1019"/>
        <s v="TW-1087"/>
        <s v="TW-1104"/>
        <s v="TW-1130"/>
        <s v="TW-1128"/>
        <s v="TW-1042"/>
        <s v="TW-1020"/>
        <s v="TW-1015"/>
        <s v="TW-1033"/>
        <s v="TW-1075"/>
        <s v="TW-1112"/>
        <s v="TW-1051"/>
        <s v="TW-1060"/>
        <s v="TW-1008"/>
        <s v="TW-1010"/>
        <s v="TW-1101"/>
        <s v="TW-1027"/>
        <s v="TW-1082"/>
        <s v="TW-1002"/>
        <s v="TW-1129"/>
        <s v="TW-1055"/>
        <s v="TW-1086"/>
        <s v="TW-1113"/>
        <s v="TW-1038"/>
        <s v="TW-1156"/>
        <s v="TW-1111"/>
        <s v="TW-1154"/>
        <s v="TW-1142"/>
        <s v="TW-1028"/>
        <s v="TW-1159"/>
        <s v="TW-1114"/>
        <s v="TW-1059"/>
        <s v="TW-1013"/>
        <s v="TW-1064"/>
        <s v="TW-1108"/>
        <s v="TW-1141"/>
        <s v="TW-1081"/>
        <s v="TW-1078"/>
        <s v="TW-1153"/>
        <s v="TW-1095"/>
        <s v="TW-1052"/>
        <s v="TW-1094"/>
        <s v="TW-1032"/>
        <s v="TW-1041"/>
        <s v="TW-1050"/>
        <s v="TW-1085"/>
        <s v="TW-1122"/>
        <s v="TW-1158"/>
        <s v="TW-1116"/>
        <s v="TW-1017"/>
        <s v="TW-1124"/>
        <s v="TW-1073"/>
        <s v="TW-1023"/>
        <s v="TW-1007"/>
        <s v="TW-1057"/>
        <s v="TW-1071"/>
        <s v="TW-1139"/>
        <s v="TW-1058"/>
        <s v="TW-1039"/>
        <s v="TW-1069"/>
        <s v="TW-1103"/>
        <s v="TW-1056"/>
        <s v="TW-1079"/>
        <s v="TW-1157"/>
        <s v="TW-1024"/>
        <s v="TW-1076"/>
        <s v="TW-1030"/>
        <s v="TW-1155"/>
        <s v="TW-1144"/>
        <s v="TW-1014"/>
        <s v="TW-1070"/>
        <s v="TW-1006"/>
        <s v="TW-1127"/>
        <s v="TW-1026"/>
        <s v="TW-1011"/>
        <s v="TW-1107"/>
        <s v="TW-1053"/>
        <s v="TW-1109"/>
        <s v="TW-1102"/>
        <s v="TW-1120"/>
        <s v="TW-1137"/>
        <s v="TW-1148"/>
        <s v="TW-1065"/>
        <s v="TW-1084"/>
        <s v="TW-1097"/>
        <s v="TW-1123"/>
        <s v="TW-1072"/>
        <s v="TW-1092"/>
        <s v="TW-1080"/>
        <s v="TW-1089"/>
        <s v="TW-1134"/>
        <s v="TW-1090"/>
        <s v="TW-1031"/>
        <s v="TW-1043"/>
        <s v="TW-1150"/>
        <s v="TW-1067"/>
        <s v="TW-1088"/>
        <s v="TW-1035"/>
        <s v="TW-1106"/>
        <s v="TW-1034"/>
        <s v="TW-1044"/>
        <s v="TW-1098"/>
        <s v="TW-1118"/>
        <s v="TW-1121"/>
        <s v="TW-1131"/>
        <s v="TW-1160"/>
        <s v="TW-1151"/>
        <s v="TW-1152"/>
        <s v="TW-1126"/>
        <s v="TW-1046"/>
        <s v="TW-1115"/>
        <s v="TW-1025"/>
        <s v="TW-1093"/>
        <s v="TW-1143"/>
        <s v="TW-1045"/>
        <s v="TW-1140"/>
        <s v="TW-1040"/>
        <s v="TW-1061"/>
        <s v="TW-1077"/>
        <s v="TW-1063"/>
        <s v="TW-1132"/>
        <s v="TW-1048"/>
        <s v="TW-1096"/>
        <s v="TW-1145"/>
        <s v="TW-1009"/>
        <s v="TW-1018"/>
        <s v="TW-1049"/>
        <s v="TW-1147"/>
        <s v="TW-1047"/>
        <s v="TW-1029"/>
        <s v="TW-1133"/>
        <s v="TW-1117"/>
        <s v="TW-1135"/>
        <s v="TW-1100"/>
        <s v="TW-1110"/>
        <s v="TW-1091"/>
        <s v="TW-1001"/>
        <s v="TW-1022"/>
        <s v="TW-1004"/>
        <s v="TW-1054"/>
        <s v="TW-1016"/>
        <s v="TW-1036"/>
        <s v="TW-1068"/>
        <s v="TW-1136"/>
        <s v="TW-1037"/>
        <s v="TW-1099"/>
        <s v="TW-1012"/>
        <s v="TW-1074"/>
        <s v="TW-1125"/>
        <s v="TW-1149"/>
        <s v="TW-1066"/>
        <s v="TW-1119"/>
        <s v="TW-1138"/>
      </sharedItems>
    </cacheField>
    <cacheField name="Date" numFmtId="164">
      <sharedItems containsSemiMixedTypes="0" containsNonDate="0" containsDate="1" containsString="0" minDate="2025-01-04T00:00:00" maxDate="2025-12-29T00:00:00"/>
    </cacheField>
    <cacheField name="Product" numFmtId="0">
      <sharedItems count="6">
        <s v="Jute Area Rug"/>
        <s v="Block-Print Table Runner"/>
        <s v="Handwoven Cushion Cover"/>
        <s v="Nakshi Kantha Throw"/>
        <s v="Seagrass Basket Set"/>
        <s v="Macrame Wall Hanging"/>
      </sharedItems>
    </cacheField>
    <cacheField name="Category" numFmtId="0">
      <sharedItems/>
    </cacheField>
    <cacheField name="Export Country" numFmtId="0">
      <sharedItems count="6">
        <s v="Japan"/>
        <s v="United Kingdom"/>
        <s v="United States"/>
        <s v="Canada"/>
        <s v="Australia"/>
        <s v="Germany"/>
      </sharedItems>
    </cacheField>
    <cacheField name="Quantity" numFmtId="0">
      <sharedItems containsSemiMixedTypes="0" containsString="0" containsNumber="1" containsInteger="1" minValue="10" maxValue="120"/>
    </cacheField>
    <cacheField name="Unit Price (USD)" numFmtId="165">
      <sharedItems containsSemiMixedTypes="0" containsString="0" containsNumber="1" minValue="13.44" maxValue="74.69"/>
    </cacheField>
    <cacheField name="Revenue (USD)" numFmtId="165">
      <sharedItems containsSemiMixedTypes="0" containsString="0" containsNumber="1" minValue="147.6" maxValue="8111.88"/>
    </cacheField>
    <cacheField name="Order Status" numFmtId="0">
      <sharedItems count="4">
        <s v="Delivered"/>
        <s v="In Production"/>
        <s v="Shipped"/>
        <s v="Pending"/>
      </sharedItems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Month Number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x v="0"/>
    <d v="2025-01-04T00:00:00"/>
    <x v="0"/>
    <s v="Rugs"/>
    <x v="0"/>
    <n v="53"/>
    <n v="48.27"/>
    <n v="2558.31"/>
    <x v="0"/>
    <x v="0"/>
    <n v="1"/>
  </r>
  <r>
    <x v="1"/>
    <d v="2025-01-06T00:00:00"/>
    <x v="1"/>
    <s v="Table Linen"/>
    <x v="0"/>
    <n v="97"/>
    <n v="20.29"/>
    <n v="1968.1299999999999"/>
    <x v="1"/>
    <x v="0"/>
    <n v="1"/>
  </r>
  <r>
    <x v="2"/>
    <d v="2025-01-16T00:00:00"/>
    <x v="2"/>
    <s v="Cushions"/>
    <x v="1"/>
    <n v="74"/>
    <n v="14.99"/>
    <n v="1109.26"/>
    <x v="2"/>
    <x v="0"/>
    <n v="1"/>
  </r>
  <r>
    <x v="3"/>
    <d v="2025-01-16T00:00:00"/>
    <x v="0"/>
    <s v="Rugs"/>
    <x v="1"/>
    <n v="12"/>
    <n v="51.56"/>
    <n v="618.72"/>
    <x v="0"/>
    <x v="0"/>
    <n v="1"/>
  </r>
  <r>
    <x v="4"/>
    <d v="2025-01-21T00:00:00"/>
    <x v="3"/>
    <s v="Throws"/>
    <x v="1"/>
    <n v="41"/>
    <n v="70.42"/>
    <n v="2887.2200000000003"/>
    <x v="0"/>
    <x v="0"/>
    <n v="1"/>
  </r>
  <r>
    <x v="5"/>
    <d v="2025-01-21T00:00:00"/>
    <x v="0"/>
    <s v="Rugs"/>
    <x v="2"/>
    <n v="93"/>
    <n v="49.85"/>
    <n v="4636.05"/>
    <x v="0"/>
    <x v="0"/>
    <n v="1"/>
  </r>
  <r>
    <x v="6"/>
    <d v="2025-01-24T00:00:00"/>
    <x v="0"/>
    <s v="Rugs"/>
    <x v="3"/>
    <n v="88"/>
    <n v="53.76"/>
    <n v="4730.88"/>
    <x v="0"/>
    <x v="0"/>
    <n v="1"/>
  </r>
  <r>
    <x v="7"/>
    <d v="2025-01-25T00:00:00"/>
    <x v="2"/>
    <s v="Cushions"/>
    <x v="1"/>
    <n v="30"/>
    <n v="15.52"/>
    <n v="465.59999999999997"/>
    <x v="0"/>
    <x v="0"/>
    <n v="1"/>
  </r>
  <r>
    <x v="8"/>
    <d v="2025-01-26T00:00:00"/>
    <x v="4"/>
    <s v="Storage"/>
    <x v="1"/>
    <n v="118"/>
    <n v="27.28"/>
    <n v="3219.04"/>
    <x v="0"/>
    <x v="0"/>
    <n v="1"/>
  </r>
  <r>
    <x v="9"/>
    <d v="2025-01-27T00:00:00"/>
    <x v="3"/>
    <s v="Throws"/>
    <x v="1"/>
    <n v="18"/>
    <n v="71.91"/>
    <n v="1294.3799999999999"/>
    <x v="2"/>
    <x v="0"/>
    <n v="1"/>
  </r>
  <r>
    <x v="10"/>
    <d v="2025-01-27T00:00:00"/>
    <x v="3"/>
    <s v="Throws"/>
    <x v="3"/>
    <n v="71"/>
    <n v="63.23"/>
    <n v="4489.33"/>
    <x v="0"/>
    <x v="0"/>
    <n v="1"/>
  </r>
  <r>
    <x v="11"/>
    <d v="2025-01-28T00:00:00"/>
    <x v="4"/>
    <s v="Storage"/>
    <x v="2"/>
    <n v="26"/>
    <n v="30.17"/>
    <n v="784.42000000000007"/>
    <x v="1"/>
    <x v="0"/>
    <n v="1"/>
  </r>
  <r>
    <x v="12"/>
    <d v="2025-01-31T00:00:00"/>
    <x v="0"/>
    <s v="Rugs"/>
    <x v="2"/>
    <n v="59"/>
    <n v="48.15"/>
    <n v="2840.85"/>
    <x v="1"/>
    <x v="0"/>
    <n v="1"/>
  </r>
  <r>
    <x v="13"/>
    <d v="2025-02-02T00:00:00"/>
    <x v="5"/>
    <s v="Wall Decor"/>
    <x v="2"/>
    <n v="69"/>
    <n v="33.79"/>
    <n v="2331.5099999999998"/>
    <x v="3"/>
    <x v="1"/>
    <n v="2"/>
  </r>
  <r>
    <x v="14"/>
    <d v="2025-02-03T00:00:00"/>
    <x v="0"/>
    <s v="Rugs"/>
    <x v="3"/>
    <n v="82"/>
    <n v="54.01"/>
    <n v="4428.82"/>
    <x v="0"/>
    <x v="1"/>
    <n v="2"/>
  </r>
  <r>
    <x v="15"/>
    <d v="2025-02-04T00:00:00"/>
    <x v="2"/>
    <s v="Cushions"/>
    <x v="4"/>
    <n v="19"/>
    <n v="14.74"/>
    <n v="280.06"/>
    <x v="0"/>
    <x v="1"/>
    <n v="2"/>
  </r>
  <r>
    <x v="16"/>
    <d v="2025-02-05T00:00:00"/>
    <x v="1"/>
    <s v="Table Linen"/>
    <x v="3"/>
    <n v="89"/>
    <n v="18.23"/>
    <n v="1622.47"/>
    <x v="1"/>
    <x v="1"/>
    <n v="2"/>
  </r>
  <r>
    <x v="17"/>
    <d v="2025-02-05T00:00:00"/>
    <x v="4"/>
    <s v="Storage"/>
    <x v="5"/>
    <n v="11"/>
    <n v="31.36"/>
    <n v="344.96"/>
    <x v="1"/>
    <x v="1"/>
    <n v="2"/>
  </r>
  <r>
    <x v="18"/>
    <d v="2025-02-07T00:00:00"/>
    <x v="2"/>
    <s v="Cushions"/>
    <x v="2"/>
    <n v="82"/>
    <n v="16.09"/>
    <n v="1319.3799999999999"/>
    <x v="0"/>
    <x v="1"/>
    <n v="2"/>
  </r>
  <r>
    <x v="19"/>
    <d v="2025-02-08T00:00:00"/>
    <x v="1"/>
    <s v="Table Linen"/>
    <x v="4"/>
    <n v="79"/>
    <n v="17.23"/>
    <n v="1361.17"/>
    <x v="0"/>
    <x v="1"/>
    <n v="2"/>
  </r>
  <r>
    <x v="20"/>
    <d v="2025-02-10T00:00:00"/>
    <x v="4"/>
    <s v="Storage"/>
    <x v="2"/>
    <n v="90"/>
    <n v="30.06"/>
    <n v="2705.4"/>
    <x v="1"/>
    <x v="1"/>
    <n v="2"/>
  </r>
  <r>
    <x v="21"/>
    <d v="2025-02-10T00:00:00"/>
    <x v="0"/>
    <s v="Rugs"/>
    <x v="4"/>
    <n v="58"/>
    <n v="48.27"/>
    <n v="2799.6600000000003"/>
    <x v="2"/>
    <x v="1"/>
    <n v="2"/>
  </r>
  <r>
    <x v="22"/>
    <d v="2025-02-12T00:00:00"/>
    <x v="1"/>
    <s v="Table Linen"/>
    <x v="2"/>
    <n v="120"/>
    <n v="18.760000000000002"/>
    <n v="2251.2000000000003"/>
    <x v="0"/>
    <x v="1"/>
    <n v="2"/>
  </r>
  <r>
    <x v="23"/>
    <d v="2025-02-13T00:00:00"/>
    <x v="1"/>
    <s v="Table Linen"/>
    <x v="2"/>
    <n v="18"/>
    <n v="20.62"/>
    <n v="371.16"/>
    <x v="0"/>
    <x v="1"/>
    <n v="2"/>
  </r>
  <r>
    <x v="24"/>
    <d v="2025-02-17T00:00:00"/>
    <x v="0"/>
    <s v="Rugs"/>
    <x v="0"/>
    <n v="38"/>
    <n v="53.34"/>
    <n v="2026.92"/>
    <x v="0"/>
    <x v="1"/>
    <n v="2"/>
  </r>
  <r>
    <x v="25"/>
    <d v="2025-02-22T00:00:00"/>
    <x v="1"/>
    <s v="Table Linen"/>
    <x v="0"/>
    <n v="79"/>
    <n v="17.41"/>
    <n v="1375.39"/>
    <x v="0"/>
    <x v="1"/>
    <n v="2"/>
  </r>
  <r>
    <x v="26"/>
    <d v="2025-02-22T00:00:00"/>
    <x v="2"/>
    <s v="Cushions"/>
    <x v="5"/>
    <n v="70"/>
    <n v="14.64"/>
    <n v="1024.8"/>
    <x v="0"/>
    <x v="1"/>
    <n v="2"/>
  </r>
  <r>
    <x v="27"/>
    <d v="2025-02-23T00:00:00"/>
    <x v="0"/>
    <s v="Rugs"/>
    <x v="1"/>
    <n v="23"/>
    <n v="52.73"/>
    <n v="1212.79"/>
    <x v="0"/>
    <x v="1"/>
    <n v="2"/>
  </r>
  <r>
    <x v="28"/>
    <d v="2025-02-24T00:00:00"/>
    <x v="5"/>
    <s v="Wall Decor"/>
    <x v="1"/>
    <n v="112"/>
    <n v="36.53"/>
    <n v="4091.36"/>
    <x v="0"/>
    <x v="1"/>
    <n v="2"/>
  </r>
  <r>
    <x v="29"/>
    <d v="2025-02-24T00:00:00"/>
    <x v="5"/>
    <s v="Wall Decor"/>
    <x v="3"/>
    <n v="91"/>
    <n v="36.11"/>
    <n v="3286.0099999999998"/>
    <x v="0"/>
    <x v="1"/>
    <n v="2"/>
  </r>
  <r>
    <x v="30"/>
    <d v="2025-02-25T00:00:00"/>
    <x v="0"/>
    <s v="Rugs"/>
    <x v="1"/>
    <n v="78"/>
    <n v="49.91"/>
    <n v="3892.9799999999996"/>
    <x v="0"/>
    <x v="1"/>
    <n v="2"/>
  </r>
  <r>
    <x v="31"/>
    <d v="2025-02-28T00:00:00"/>
    <x v="5"/>
    <s v="Wall Decor"/>
    <x v="3"/>
    <n v="92"/>
    <n v="35.729999999999997"/>
    <n v="3287.16"/>
    <x v="0"/>
    <x v="1"/>
    <n v="2"/>
  </r>
  <r>
    <x v="32"/>
    <d v="2025-03-03T00:00:00"/>
    <x v="4"/>
    <s v="Storage"/>
    <x v="0"/>
    <n v="54"/>
    <n v="29.58"/>
    <n v="1597.32"/>
    <x v="2"/>
    <x v="2"/>
    <n v="3"/>
  </r>
  <r>
    <x v="33"/>
    <d v="2025-03-04T00:00:00"/>
    <x v="2"/>
    <s v="Cushions"/>
    <x v="3"/>
    <n v="87"/>
    <n v="15.54"/>
    <n v="1351.98"/>
    <x v="2"/>
    <x v="2"/>
    <n v="3"/>
  </r>
  <r>
    <x v="34"/>
    <d v="2025-03-05T00:00:00"/>
    <x v="5"/>
    <s v="Wall Decor"/>
    <x v="0"/>
    <n v="99"/>
    <n v="32.979999999999997"/>
    <n v="3265.0199999999995"/>
    <x v="0"/>
    <x v="2"/>
    <n v="3"/>
  </r>
  <r>
    <x v="35"/>
    <d v="2025-03-06T00:00:00"/>
    <x v="0"/>
    <s v="Rugs"/>
    <x v="5"/>
    <n v="80"/>
    <n v="47.19"/>
    <n v="3775.2"/>
    <x v="0"/>
    <x v="2"/>
    <n v="3"/>
  </r>
  <r>
    <x v="36"/>
    <d v="2025-03-11T00:00:00"/>
    <x v="2"/>
    <s v="Cushions"/>
    <x v="1"/>
    <n v="111"/>
    <n v="15.69"/>
    <n v="1741.59"/>
    <x v="0"/>
    <x v="2"/>
    <n v="3"/>
  </r>
  <r>
    <x v="37"/>
    <d v="2025-03-20T00:00:00"/>
    <x v="5"/>
    <s v="Wall Decor"/>
    <x v="1"/>
    <n v="76"/>
    <n v="36.58"/>
    <n v="2780.08"/>
    <x v="0"/>
    <x v="2"/>
    <n v="3"/>
  </r>
  <r>
    <x v="38"/>
    <d v="2025-03-24T00:00:00"/>
    <x v="1"/>
    <s v="Table Linen"/>
    <x v="2"/>
    <n v="100"/>
    <n v="18.64"/>
    <n v="1864"/>
    <x v="0"/>
    <x v="2"/>
    <n v="3"/>
  </r>
  <r>
    <x v="39"/>
    <d v="2025-03-25T00:00:00"/>
    <x v="5"/>
    <s v="Wall Decor"/>
    <x v="2"/>
    <n v="91"/>
    <n v="34.799999999999997"/>
    <n v="3166.7999999999997"/>
    <x v="0"/>
    <x v="2"/>
    <n v="3"/>
  </r>
  <r>
    <x v="40"/>
    <d v="2025-03-25T00:00:00"/>
    <x v="0"/>
    <s v="Rugs"/>
    <x v="4"/>
    <n v="13"/>
    <n v="47.32"/>
    <n v="615.16"/>
    <x v="3"/>
    <x v="2"/>
    <n v="3"/>
  </r>
  <r>
    <x v="41"/>
    <d v="2025-03-25T00:00:00"/>
    <x v="3"/>
    <s v="Throws"/>
    <x v="1"/>
    <n v="13"/>
    <n v="73.83"/>
    <n v="959.79"/>
    <x v="2"/>
    <x v="2"/>
    <n v="3"/>
  </r>
  <r>
    <x v="42"/>
    <d v="2025-03-26T00:00:00"/>
    <x v="3"/>
    <s v="Throws"/>
    <x v="5"/>
    <n v="115"/>
    <n v="69.150000000000006"/>
    <n v="7952.2500000000009"/>
    <x v="0"/>
    <x v="2"/>
    <n v="3"/>
  </r>
  <r>
    <x v="43"/>
    <d v="2025-03-28T00:00:00"/>
    <x v="1"/>
    <s v="Table Linen"/>
    <x v="1"/>
    <n v="75"/>
    <n v="19.489999999999998"/>
    <n v="1461.7499999999998"/>
    <x v="2"/>
    <x v="2"/>
    <n v="3"/>
  </r>
  <r>
    <x v="44"/>
    <d v="2025-03-31T00:00:00"/>
    <x v="4"/>
    <s v="Storage"/>
    <x v="5"/>
    <n v="61"/>
    <n v="29.67"/>
    <n v="1809.8700000000001"/>
    <x v="0"/>
    <x v="2"/>
    <n v="3"/>
  </r>
  <r>
    <x v="45"/>
    <d v="2025-04-15T00:00:00"/>
    <x v="3"/>
    <s v="Throws"/>
    <x v="5"/>
    <n v="46"/>
    <n v="67.45"/>
    <n v="3102.7000000000003"/>
    <x v="2"/>
    <x v="3"/>
    <n v="4"/>
  </r>
  <r>
    <x v="46"/>
    <d v="2025-04-16T00:00:00"/>
    <x v="5"/>
    <s v="Wall Decor"/>
    <x v="2"/>
    <n v="108"/>
    <n v="34.14"/>
    <n v="3687.12"/>
    <x v="2"/>
    <x v="3"/>
    <n v="4"/>
  </r>
  <r>
    <x v="47"/>
    <d v="2025-04-20T00:00:00"/>
    <x v="4"/>
    <s v="Storage"/>
    <x v="1"/>
    <n v="54"/>
    <n v="31.53"/>
    <n v="1702.6200000000001"/>
    <x v="1"/>
    <x v="3"/>
    <n v="4"/>
  </r>
  <r>
    <x v="48"/>
    <d v="2025-04-20T00:00:00"/>
    <x v="2"/>
    <s v="Cushions"/>
    <x v="2"/>
    <n v="52"/>
    <n v="14.82"/>
    <n v="770.64"/>
    <x v="0"/>
    <x v="3"/>
    <n v="4"/>
  </r>
  <r>
    <x v="49"/>
    <d v="2025-04-28T00:00:00"/>
    <x v="4"/>
    <s v="Storage"/>
    <x v="1"/>
    <n v="19"/>
    <n v="30.56"/>
    <n v="580.64"/>
    <x v="0"/>
    <x v="3"/>
    <n v="4"/>
  </r>
  <r>
    <x v="50"/>
    <d v="2025-05-02T00:00:00"/>
    <x v="0"/>
    <s v="Rugs"/>
    <x v="2"/>
    <n v="71"/>
    <n v="47.65"/>
    <n v="3383.15"/>
    <x v="0"/>
    <x v="4"/>
    <n v="5"/>
  </r>
  <r>
    <x v="51"/>
    <d v="2025-05-03T00:00:00"/>
    <x v="3"/>
    <s v="Throws"/>
    <x v="2"/>
    <n v="95"/>
    <n v="70.14"/>
    <n v="6663.3"/>
    <x v="0"/>
    <x v="4"/>
    <n v="5"/>
  </r>
  <r>
    <x v="52"/>
    <d v="2025-05-05T00:00:00"/>
    <x v="0"/>
    <s v="Rugs"/>
    <x v="5"/>
    <n v="10"/>
    <n v="54.17"/>
    <n v="541.70000000000005"/>
    <x v="1"/>
    <x v="4"/>
    <n v="5"/>
  </r>
  <r>
    <x v="53"/>
    <d v="2025-05-05T00:00:00"/>
    <x v="3"/>
    <s v="Throws"/>
    <x v="5"/>
    <n v="57"/>
    <n v="67.900000000000006"/>
    <n v="3870.3"/>
    <x v="0"/>
    <x v="4"/>
    <n v="5"/>
  </r>
  <r>
    <x v="54"/>
    <d v="2025-05-05T00:00:00"/>
    <x v="5"/>
    <s v="Wall Decor"/>
    <x v="5"/>
    <n v="59"/>
    <n v="31.62"/>
    <n v="1865.5800000000002"/>
    <x v="2"/>
    <x v="4"/>
    <n v="5"/>
  </r>
  <r>
    <x v="55"/>
    <d v="2025-05-06T00:00:00"/>
    <x v="2"/>
    <s v="Cushions"/>
    <x v="1"/>
    <n v="67"/>
    <n v="13.98"/>
    <n v="936.66000000000008"/>
    <x v="0"/>
    <x v="4"/>
    <n v="5"/>
  </r>
  <r>
    <x v="56"/>
    <d v="2025-05-07T00:00:00"/>
    <x v="1"/>
    <s v="Table Linen"/>
    <x v="5"/>
    <n v="43"/>
    <n v="19.79"/>
    <n v="850.96999999999991"/>
    <x v="0"/>
    <x v="4"/>
    <n v="5"/>
  </r>
  <r>
    <x v="57"/>
    <d v="2025-05-09T00:00:00"/>
    <x v="0"/>
    <s v="Rugs"/>
    <x v="1"/>
    <n v="34"/>
    <n v="48.63"/>
    <n v="1653.42"/>
    <x v="2"/>
    <x v="4"/>
    <n v="5"/>
  </r>
  <r>
    <x v="58"/>
    <d v="2025-05-11T00:00:00"/>
    <x v="2"/>
    <s v="Cushions"/>
    <x v="0"/>
    <n v="10"/>
    <n v="14.76"/>
    <n v="147.6"/>
    <x v="1"/>
    <x v="4"/>
    <n v="5"/>
  </r>
  <r>
    <x v="59"/>
    <d v="2025-05-15T00:00:00"/>
    <x v="4"/>
    <s v="Storage"/>
    <x v="0"/>
    <n v="74"/>
    <n v="31.71"/>
    <n v="2346.54"/>
    <x v="1"/>
    <x v="4"/>
    <n v="5"/>
  </r>
  <r>
    <x v="60"/>
    <d v="2025-05-16T00:00:00"/>
    <x v="2"/>
    <s v="Cushions"/>
    <x v="0"/>
    <n v="78"/>
    <n v="13.65"/>
    <n v="1064.7"/>
    <x v="3"/>
    <x v="4"/>
    <n v="5"/>
  </r>
  <r>
    <x v="61"/>
    <d v="2025-05-16T00:00:00"/>
    <x v="4"/>
    <s v="Storage"/>
    <x v="2"/>
    <n v="118"/>
    <n v="26.88"/>
    <n v="3171.8399999999997"/>
    <x v="2"/>
    <x v="4"/>
    <n v="5"/>
  </r>
  <r>
    <x v="62"/>
    <d v="2025-05-16T00:00:00"/>
    <x v="2"/>
    <s v="Cushions"/>
    <x v="1"/>
    <n v="65"/>
    <n v="14.27"/>
    <n v="927.55"/>
    <x v="1"/>
    <x v="4"/>
    <n v="5"/>
  </r>
  <r>
    <x v="63"/>
    <d v="2025-05-16T00:00:00"/>
    <x v="1"/>
    <s v="Table Linen"/>
    <x v="5"/>
    <n v="112"/>
    <n v="20.46"/>
    <n v="2291.52"/>
    <x v="0"/>
    <x v="4"/>
    <n v="5"/>
  </r>
  <r>
    <x v="64"/>
    <d v="2025-05-22T00:00:00"/>
    <x v="2"/>
    <s v="Cushions"/>
    <x v="1"/>
    <n v="108"/>
    <n v="13.67"/>
    <n v="1476.36"/>
    <x v="3"/>
    <x v="4"/>
    <n v="5"/>
  </r>
  <r>
    <x v="65"/>
    <d v="2025-05-23T00:00:00"/>
    <x v="5"/>
    <s v="Wall Decor"/>
    <x v="1"/>
    <n v="19"/>
    <n v="33.24"/>
    <n v="631.56000000000006"/>
    <x v="1"/>
    <x v="4"/>
    <n v="5"/>
  </r>
  <r>
    <x v="66"/>
    <d v="2025-05-23T00:00:00"/>
    <x v="3"/>
    <s v="Throws"/>
    <x v="5"/>
    <n v="61"/>
    <n v="70.58"/>
    <n v="4305.38"/>
    <x v="1"/>
    <x v="4"/>
    <n v="5"/>
  </r>
  <r>
    <x v="67"/>
    <d v="2025-05-23T00:00:00"/>
    <x v="5"/>
    <s v="Wall Decor"/>
    <x v="1"/>
    <n v="20"/>
    <n v="33.409999999999997"/>
    <n v="668.19999999999993"/>
    <x v="2"/>
    <x v="4"/>
    <n v="5"/>
  </r>
  <r>
    <x v="68"/>
    <d v="2025-05-25T00:00:00"/>
    <x v="4"/>
    <s v="Storage"/>
    <x v="1"/>
    <n v="53"/>
    <n v="27.74"/>
    <n v="1470.22"/>
    <x v="2"/>
    <x v="4"/>
    <n v="5"/>
  </r>
  <r>
    <x v="69"/>
    <d v="2025-05-27T00:00:00"/>
    <x v="0"/>
    <s v="Rugs"/>
    <x v="2"/>
    <n v="84"/>
    <n v="51.42"/>
    <n v="4319.28"/>
    <x v="0"/>
    <x v="4"/>
    <n v="5"/>
  </r>
  <r>
    <x v="70"/>
    <d v="2025-05-30T00:00:00"/>
    <x v="4"/>
    <s v="Storage"/>
    <x v="0"/>
    <n v="63"/>
    <n v="31.27"/>
    <n v="1970.01"/>
    <x v="3"/>
    <x v="4"/>
    <n v="5"/>
  </r>
  <r>
    <x v="71"/>
    <d v="2025-06-02T00:00:00"/>
    <x v="1"/>
    <s v="Table Linen"/>
    <x v="2"/>
    <n v="35"/>
    <n v="17.649999999999999"/>
    <n v="617.75"/>
    <x v="1"/>
    <x v="5"/>
    <n v="6"/>
  </r>
  <r>
    <x v="72"/>
    <d v="2025-06-03T00:00:00"/>
    <x v="4"/>
    <s v="Storage"/>
    <x v="2"/>
    <n v="62"/>
    <n v="28.43"/>
    <n v="1762.66"/>
    <x v="2"/>
    <x v="5"/>
    <n v="6"/>
  </r>
  <r>
    <x v="73"/>
    <d v="2025-06-09T00:00:00"/>
    <x v="5"/>
    <s v="Wall Decor"/>
    <x v="3"/>
    <n v="93"/>
    <n v="32.79"/>
    <n v="3049.47"/>
    <x v="1"/>
    <x v="5"/>
    <n v="6"/>
  </r>
  <r>
    <x v="74"/>
    <d v="2025-06-09T00:00:00"/>
    <x v="4"/>
    <s v="Storage"/>
    <x v="1"/>
    <n v="62"/>
    <n v="27.12"/>
    <n v="1681.44"/>
    <x v="3"/>
    <x v="5"/>
    <n v="6"/>
  </r>
  <r>
    <x v="75"/>
    <d v="2025-06-15T00:00:00"/>
    <x v="4"/>
    <s v="Storage"/>
    <x v="1"/>
    <n v="21"/>
    <n v="27.88"/>
    <n v="585.48"/>
    <x v="2"/>
    <x v="5"/>
    <n v="6"/>
  </r>
  <r>
    <x v="76"/>
    <d v="2025-06-16T00:00:00"/>
    <x v="2"/>
    <s v="Cushions"/>
    <x v="1"/>
    <n v="14"/>
    <n v="15.55"/>
    <n v="217.70000000000002"/>
    <x v="0"/>
    <x v="5"/>
    <n v="6"/>
  </r>
  <r>
    <x v="77"/>
    <d v="2025-06-19T00:00:00"/>
    <x v="2"/>
    <s v="Cushions"/>
    <x v="1"/>
    <n v="43"/>
    <n v="13.8"/>
    <n v="593.4"/>
    <x v="3"/>
    <x v="5"/>
    <n v="6"/>
  </r>
  <r>
    <x v="78"/>
    <d v="2025-06-22T00:00:00"/>
    <x v="2"/>
    <s v="Cushions"/>
    <x v="1"/>
    <n v="22"/>
    <n v="14.31"/>
    <n v="314.82"/>
    <x v="0"/>
    <x v="5"/>
    <n v="6"/>
  </r>
  <r>
    <x v="79"/>
    <d v="2025-07-04T00:00:00"/>
    <x v="0"/>
    <s v="Rugs"/>
    <x v="2"/>
    <n v="100"/>
    <n v="50.73"/>
    <n v="5073"/>
    <x v="0"/>
    <x v="6"/>
    <n v="7"/>
  </r>
  <r>
    <x v="80"/>
    <d v="2025-07-05T00:00:00"/>
    <x v="3"/>
    <s v="Throws"/>
    <x v="1"/>
    <n v="40"/>
    <n v="73.16"/>
    <n v="2926.3999999999996"/>
    <x v="3"/>
    <x v="6"/>
    <n v="7"/>
  </r>
  <r>
    <x v="81"/>
    <d v="2025-07-06T00:00:00"/>
    <x v="0"/>
    <s v="Rugs"/>
    <x v="2"/>
    <n v="36"/>
    <n v="52.03"/>
    <n v="1873.08"/>
    <x v="2"/>
    <x v="6"/>
    <n v="7"/>
  </r>
  <r>
    <x v="82"/>
    <d v="2025-07-08T00:00:00"/>
    <x v="0"/>
    <s v="Rugs"/>
    <x v="5"/>
    <n v="105"/>
    <n v="52.5"/>
    <n v="5512.5"/>
    <x v="1"/>
    <x v="6"/>
    <n v="7"/>
  </r>
  <r>
    <x v="83"/>
    <d v="2025-07-09T00:00:00"/>
    <x v="3"/>
    <s v="Throws"/>
    <x v="1"/>
    <n v="116"/>
    <n v="68.81"/>
    <n v="7981.96"/>
    <x v="0"/>
    <x v="6"/>
    <n v="7"/>
  </r>
  <r>
    <x v="84"/>
    <d v="2025-07-12T00:00:00"/>
    <x v="5"/>
    <s v="Wall Decor"/>
    <x v="3"/>
    <n v="35"/>
    <n v="30.89"/>
    <n v="1081.1500000000001"/>
    <x v="2"/>
    <x v="6"/>
    <n v="7"/>
  </r>
  <r>
    <x v="85"/>
    <d v="2025-07-14T00:00:00"/>
    <x v="3"/>
    <s v="Throws"/>
    <x v="1"/>
    <n v="51"/>
    <n v="66.14"/>
    <n v="3373.14"/>
    <x v="1"/>
    <x v="6"/>
    <n v="7"/>
  </r>
  <r>
    <x v="86"/>
    <d v="2025-07-28T00:00:00"/>
    <x v="5"/>
    <s v="Wall Decor"/>
    <x v="5"/>
    <n v="40"/>
    <n v="34.82"/>
    <n v="1392.8"/>
    <x v="2"/>
    <x v="6"/>
    <n v="7"/>
  </r>
  <r>
    <x v="87"/>
    <d v="2025-07-29T00:00:00"/>
    <x v="5"/>
    <s v="Wall Decor"/>
    <x v="0"/>
    <n v="70"/>
    <n v="32.26"/>
    <n v="2258.1999999999998"/>
    <x v="0"/>
    <x v="6"/>
    <n v="7"/>
  </r>
  <r>
    <x v="88"/>
    <d v="2025-07-29T00:00:00"/>
    <x v="3"/>
    <s v="Throws"/>
    <x v="2"/>
    <n v="23"/>
    <n v="72.900000000000006"/>
    <n v="1676.7"/>
    <x v="0"/>
    <x v="6"/>
    <n v="7"/>
  </r>
  <r>
    <x v="89"/>
    <d v="2025-07-30T00:00:00"/>
    <x v="1"/>
    <s v="Table Linen"/>
    <x v="4"/>
    <n v="113"/>
    <n v="17.989999999999998"/>
    <n v="2032.87"/>
    <x v="0"/>
    <x v="6"/>
    <n v="7"/>
  </r>
  <r>
    <x v="90"/>
    <d v="2025-08-01T00:00:00"/>
    <x v="1"/>
    <s v="Table Linen"/>
    <x v="5"/>
    <n v="101"/>
    <n v="19.61"/>
    <n v="1980.61"/>
    <x v="0"/>
    <x v="7"/>
    <n v="8"/>
  </r>
  <r>
    <x v="91"/>
    <d v="2025-08-03T00:00:00"/>
    <x v="4"/>
    <s v="Storage"/>
    <x v="0"/>
    <n v="79"/>
    <n v="31.08"/>
    <n v="2455.3199999999997"/>
    <x v="1"/>
    <x v="7"/>
    <n v="8"/>
  </r>
  <r>
    <x v="92"/>
    <d v="2025-08-06T00:00:00"/>
    <x v="1"/>
    <s v="Table Linen"/>
    <x v="5"/>
    <n v="55"/>
    <n v="19.63"/>
    <n v="1079.6499999999999"/>
    <x v="0"/>
    <x v="7"/>
    <n v="8"/>
  </r>
  <r>
    <x v="93"/>
    <d v="2025-08-12T00:00:00"/>
    <x v="4"/>
    <s v="Storage"/>
    <x v="3"/>
    <n v="24"/>
    <n v="28.76"/>
    <n v="690.24"/>
    <x v="2"/>
    <x v="7"/>
    <n v="8"/>
  </r>
  <r>
    <x v="94"/>
    <d v="2025-08-14T00:00:00"/>
    <x v="2"/>
    <s v="Cushions"/>
    <x v="0"/>
    <n v="40"/>
    <n v="14.06"/>
    <n v="562.4"/>
    <x v="0"/>
    <x v="7"/>
    <n v="8"/>
  </r>
  <r>
    <x v="95"/>
    <d v="2025-08-15T00:00:00"/>
    <x v="5"/>
    <s v="Wall Decor"/>
    <x v="0"/>
    <n v="75"/>
    <n v="33.43"/>
    <n v="2507.25"/>
    <x v="3"/>
    <x v="7"/>
    <n v="8"/>
  </r>
  <r>
    <x v="96"/>
    <d v="2025-08-15T00:00:00"/>
    <x v="4"/>
    <s v="Storage"/>
    <x v="4"/>
    <n v="74"/>
    <n v="28.99"/>
    <n v="2145.2599999999998"/>
    <x v="3"/>
    <x v="7"/>
    <n v="8"/>
  </r>
  <r>
    <x v="97"/>
    <d v="2025-08-15T00:00:00"/>
    <x v="3"/>
    <s v="Throws"/>
    <x v="4"/>
    <n v="64"/>
    <n v="65.72"/>
    <n v="4206.08"/>
    <x v="2"/>
    <x v="7"/>
    <n v="8"/>
  </r>
  <r>
    <x v="98"/>
    <d v="2025-08-17T00:00:00"/>
    <x v="0"/>
    <s v="Rugs"/>
    <x v="0"/>
    <n v="70"/>
    <n v="49.92"/>
    <n v="3494.4"/>
    <x v="1"/>
    <x v="7"/>
    <n v="8"/>
  </r>
  <r>
    <x v="99"/>
    <d v="2025-08-20T00:00:00"/>
    <x v="2"/>
    <s v="Cushions"/>
    <x v="1"/>
    <n v="18"/>
    <n v="14.25"/>
    <n v="256.5"/>
    <x v="2"/>
    <x v="7"/>
    <n v="8"/>
  </r>
  <r>
    <x v="100"/>
    <d v="2025-08-21T00:00:00"/>
    <x v="3"/>
    <s v="Throws"/>
    <x v="2"/>
    <n v="103"/>
    <n v="74.69"/>
    <n v="7693.07"/>
    <x v="2"/>
    <x v="7"/>
    <n v="8"/>
  </r>
  <r>
    <x v="101"/>
    <d v="2025-08-21T00:00:00"/>
    <x v="2"/>
    <s v="Cushions"/>
    <x v="2"/>
    <n v="51"/>
    <n v="13.62"/>
    <n v="694.62"/>
    <x v="1"/>
    <x v="7"/>
    <n v="8"/>
  </r>
  <r>
    <x v="102"/>
    <d v="2025-08-24T00:00:00"/>
    <x v="3"/>
    <s v="Throws"/>
    <x v="2"/>
    <n v="111"/>
    <n v="73.08"/>
    <n v="8111.88"/>
    <x v="0"/>
    <x v="7"/>
    <n v="8"/>
  </r>
  <r>
    <x v="103"/>
    <d v="2025-08-26T00:00:00"/>
    <x v="1"/>
    <s v="Table Linen"/>
    <x v="5"/>
    <n v="81"/>
    <n v="19.239999999999998"/>
    <n v="1558.4399999999998"/>
    <x v="3"/>
    <x v="7"/>
    <n v="8"/>
  </r>
  <r>
    <x v="104"/>
    <d v="2025-08-31T00:00:00"/>
    <x v="0"/>
    <s v="Rugs"/>
    <x v="0"/>
    <n v="113"/>
    <n v="49.51"/>
    <n v="5594.63"/>
    <x v="0"/>
    <x v="7"/>
    <n v="8"/>
  </r>
  <r>
    <x v="105"/>
    <d v="2025-08-31T00:00:00"/>
    <x v="1"/>
    <s v="Table Linen"/>
    <x v="1"/>
    <n v="37"/>
    <n v="18.77"/>
    <n v="694.49"/>
    <x v="0"/>
    <x v="7"/>
    <n v="8"/>
  </r>
  <r>
    <x v="106"/>
    <d v="2025-09-06T00:00:00"/>
    <x v="0"/>
    <s v="Rugs"/>
    <x v="5"/>
    <n v="102"/>
    <n v="54.58"/>
    <n v="5567.16"/>
    <x v="2"/>
    <x v="8"/>
    <n v="9"/>
  </r>
  <r>
    <x v="107"/>
    <d v="2025-09-07T00:00:00"/>
    <x v="0"/>
    <s v="Rugs"/>
    <x v="1"/>
    <n v="37"/>
    <n v="54.9"/>
    <n v="2031.3"/>
    <x v="2"/>
    <x v="8"/>
    <n v="9"/>
  </r>
  <r>
    <x v="108"/>
    <d v="2025-09-07T00:00:00"/>
    <x v="0"/>
    <s v="Rugs"/>
    <x v="1"/>
    <n v="72"/>
    <n v="45.88"/>
    <n v="3303.36"/>
    <x v="0"/>
    <x v="8"/>
    <n v="9"/>
  </r>
  <r>
    <x v="109"/>
    <d v="2025-09-07T00:00:00"/>
    <x v="0"/>
    <s v="Rugs"/>
    <x v="2"/>
    <n v="43"/>
    <n v="48.87"/>
    <n v="2101.41"/>
    <x v="1"/>
    <x v="8"/>
    <n v="9"/>
  </r>
  <r>
    <x v="110"/>
    <d v="2025-09-09T00:00:00"/>
    <x v="5"/>
    <s v="Wall Decor"/>
    <x v="4"/>
    <n v="21"/>
    <n v="32.28"/>
    <n v="677.88"/>
    <x v="0"/>
    <x v="8"/>
    <n v="9"/>
  </r>
  <r>
    <x v="111"/>
    <d v="2025-09-09T00:00:00"/>
    <x v="2"/>
    <s v="Cushions"/>
    <x v="5"/>
    <n v="97"/>
    <n v="13.45"/>
    <n v="1304.6499999999999"/>
    <x v="0"/>
    <x v="8"/>
    <n v="9"/>
  </r>
  <r>
    <x v="112"/>
    <d v="2025-09-17T00:00:00"/>
    <x v="3"/>
    <s v="Throws"/>
    <x v="4"/>
    <n v="46"/>
    <n v="71.19"/>
    <n v="3274.74"/>
    <x v="1"/>
    <x v="8"/>
    <n v="9"/>
  </r>
  <r>
    <x v="113"/>
    <d v="2025-09-21T00:00:00"/>
    <x v="2"/>
    <s v="Cushions"/>
    <x v="5"/>
    <n v="79"/>
    <n v="14.59"/>
    <n v="1152.6099999999999"/>
    <x v="0"/>
    <x v="8"/>
    <n v="9"/>
  </r>
  <r>
    <x v="114"/>
    <d v="2025-09-23T00:00:00"/>
    <x v="3"/>
    <s v="Throws"/>
    <x v="5"/>
    <n v="73"/>
    <n v="69.88"/>
    <n v="5101.24"/>
    <x v="1"/>
    <x v="8"/>
    <n v="9"/>
  </r>
  <r>
    <x v="115"/>
    <d v="2025-09-26T00:00:00"/>
    <x v="4"/>
    <s v="Storage"/>
    <x v="2"/>
    <n v="22"/>
    <n v="31.26"/>
    <n v="687.72"/>
    <x v="0"/>
    <x v="8"/>
    <n v="9"/>
  </r>
  <r>
    <x v="116"/>
    <d v="2025-09-29T00:00:00"/>
    <x v="0"/>
    <s v="Rugs"/>
    <x v="1"/>
    <n v="75"/>
    <n v="46.37"/>
    <n v="3477.75"/>
    <x v="0"/>
    <x v="8"/>
    <n v="9"/>
  </r>
  <r>
    <x v="117"/>
    <d v="2025-10-03T00:00:00"/>
    <x v="5"/>
    <s v="Wall Decor"/>
    <x v="2"/>
    <n v="115"/>
    <n v="35.08"/>
    <n v="4034.2"/>
    <x v="0"/>
    <x v="9"/>
    <n v="10"/>
  </r>
  <r>
    <x v="118"/>
    <d v="2025-10-04T00:00:00"/>
    <x v="4"/>
    <s v="Storage"/>
    <x v="3"/>
    <n v="86"/>
    <n v="28.42"/>
    <n v="2444.1200000000003"/>
    <x v="0"/>
    <x v="9"/>
    <n v="10"/>
  </r>
  <r>
    <x v="119"/>
    <d v="2025-10-04T00:00:00"/>
    <x v="2"/>
    <s v="Cushions"/>
    <x v="1"/>
    <n v="39"/>
    <n v="14.37"/>
    <n v="560.42999999999995"/>
    <x v="0"/>
    <x v="9"/>
    <n v="10"/>
  </r>
  <r>
    <x v="120"/>
    <d v="2025-10-04T00:00:00"/>
    <x v="5"/>
    <s v="Wall Decor"/>
    <x v="2"/>
    <n v="86"/>
    <n v="30.66"/>
    <n v="2636.76"/>
    <x v="0"/>
    <x v="9"/>
    <n v="10"/>
  </r>
  <r>
    <x v="121"/>
    <d v="2025-10-05T00:00:00"/>
    <x v="2"/>
    <s v="Cushions"/>
    <x v="0"/>
    <n v="17"/>
    <n v="13.44"/>
    <n v="228.48"/>
    <x v="0"/>
    <x v="9"/>
    <n v="10"/>
  </r>
  <r>
    <x v="122"/>
    <d v="2025-10-06T00:00:00"/>
    <x v="0"/>
    <s v="Rugs"/>
    <x v="5"/>
    <n v="44"/>
    <n v="53.54"/>
    <n v="2355.7599999999998"/>
    <x v="0"/>
    <x v="9"/>
    <n v="10"/>
  </r>
  <r>
    <x v="123"/>
    <d v="2025-10-09T00:00:00"/>
    <x v="2"/>
    <s v="Cushions"/>
    <x v="1"/>
    <n v="79"/>
    <n v="15.64"/>
    <n v="1235.56"/>
    <x v="3"/>
    <x v="9"/>
    <n v="10"/>
  </r>
  <r>
    <x v="124"/>
    <d v="2025-10-10T00:00:00"/>
    <x v="0"/>
    <s v="Rugs"/>
    <x v="2"/>
    <n v="15"/>
    <n v="48.56"/>
    <n v="728.40000000000009"/>
    <x v="1"/>
    <x v="9"/>
    <n v="10"/>
  </r>
  <r>
    <x v="125"/>
    <d v="2025-10-11T00:00:00"/>
    <x v="0"/>
    <s v="Rugs"/>
    <x v="1"/>
    <n v="95"/>
    <n v="54.63"/>
    <n v="5189.8500000000004"/>
    <x v="2"/>
    <x v="9"/>
    <n v="10"/>
  </r>
  <r>
    <x v="126"/>
    <d v="2025-10-14T00:00:00"/>
    <x v="5"/>
    <s v="Wall Decor"/>
    <x v="3"/>
    <n v="105"/>
    <n v="31.39"/>
    <n v="3295.9500000000003"/>
    <x v="3"/>
    <x v="9"/>
    <n v="10"/>
  </r>
  <r>
    <x v="127"/>
    <d v="2025-10-16T00:00:00"/>
    <x v="3"/>
    <s v="Throws"/>
    <x v="1"/>
    <n v="41"/>
    <n v="63.29"/>
    <n v="2594.89"/>
    <x v="1"/>
    <x v="9"/>
    <n v="10"/>
  </r>
  <r>
    <x v="128"/>
    <d v="2025-10-19T00:00:00"/>
    <x v="0"/>
    <s v="Rugs"/>
    <x v="5"/>
    <n v="15"/>
    <n v="51.55"/>
    <n v="773.25"/>
    <x v="0"/>
    <x v="9"/>
    <n v="10"/>
  </r>
  <r>
    <x v="129"/>
    <d v="2025-10-22T00:00:00"/>
    <x v="5"/>
    <s v="Wall Decor"/>
    <x v="2"/>
    <n v="55"/>
    <n v="32.31"/>
    <n v="1777.0500000000002"/>
    <x v="0"/>
    <x v="9"/>
    <n v="10"/>
  </r>
  <r>
    <x v="130"/>
    <d v="2025-10-22T00:00:00"/>
    <x v="4"/>
    <s v="Storage"/>
    <x v="3"/>
    <n v="107"/>
    <n v="30.36"/>
    <n v="3248.52"/>
    <x v="0"/>
    <x v="9"/>
    <n v="10"/>
  </r>
  <r>
    <x v="131"/>
    <d v="2025-10-23T00:00:00"/>
    <x v="0"/>
    <s v="Rugs"/>
    <x v="0"/>
    <n v="15"/>
    <n v="51.95"/>
    <n v="779.25"/>
    <x v="1"/>
    <x v="9"/>
    <n v="10"/>
  </r>
  <r>
    <x v="132"/>
    <d v="2025-10-26T00:00:00"/>
    <x v="5"/>
    <s v="Wall Decor"/>
    <x v="2"/>
    <n v="27"/>
    <n v="33.659999999999997"/>
    <n v="908.81999999999994"/>
    <x v="0"/>
    <x v="9"/>
    <n v="10"/>
  </r>
  <r>
    <x v="133"/>
    <d v="2025-10-26T00:00:00"/>
    <x v="4"/>
    <s v="Storage"/>
    <x v="5"/>
    <n v="43"/>
    <n v="27.74"/>
    <n v="1192.82"/>
    <x v="2"/>
    <x v="9"/>
    <n v="10"/>
  </r>
  <r>
    <x v="134"/>
    <d v="2025-10-27T00:00:00"/>
    <x v="5"/>
    <s v="Wall Decor"/>
    <x v="5"/>
    <n v="72"/>
    <n v="36.6"/>
    <n v="2635.2000000000003"/>
    <x v="0"/>
    <x v="9"/>
    <n v="10"/>
  </r>
  <r>
    <x v="135"/>
    <d v="2025-11-01T00:00:00"/>
    <x v="2"/>
    <s v="Cushions"/>
    <x v="0"/>
    <n v="40"/>
    <n v="14.43"/>
    <n v="577.20000000000005"/>
    <x v="3"/>
    <x v="10"/>
    <n v="11"/>
  </r>
  <r>
    <x v="136"/>
    <d v="2025-11-07T00:00:00"/>
    <x v="5"/>
    <s v="Wall Decor"/>
    <x v="3"/>
    <n v="79"/>
    <n v="35.229999999999997"/>
    <n v="2783.1699999999996"/>
    <x v="2"/>
    <x v="10"/>
    <n v="11"/>
  </r>
  <r>
    <x v="137"/>
    <d v="2025-11-07T00:00:00"/>
    <x v="4"/>
    <s v="Storage"/>
    <x v="4"/>
    <n v="38"/>
    <n v="30.94"/>
    <n v="1175.72"/>
    <x v="0"/>
    <x v="10"/>
    <n v="11"/>
  </r>
  <r>
    <x v="138"/>
    <d v="2025-11-09T00:00:00"/>
    <x v="1"/>
    <s v="Table Linen"/>
    <x v="2"/>
    <n v="13"/>
    <n v="18.88"/>
    <n v="245.44"/>
    <x v="0"/>
    <x v="10"/>
    <n v="11"/>
  </r>
  <r>
    <x v="139"/>
    <d v="2025-11-09T00:00:00"/>
    <x v="1"/>
    <s v="Table Linen"/>
    <x v="1"/>
    <n v="107"/>
    <n v="17.850000000000001"/>
    <n v="1909.95"/>
    <x v="0"/>
    <x v="10"/>
    <n v="11"/>
  </r>
  <r>
    <x v="140"/>
    <d v="2025-11-15T00:00:00"/>
    <x v="4"/>
    <s v="Storage"/>
    <x v="1"/>
    <n v="60"/>
    <n v="29.91"/>
    <n v="1794.6"/>
    <x v="2"/>
    <x v="10"/>
    <n v="11"/>
  </r>
  <r>
    <x v="141"/>
    <d v="2025-11-18T00:00:00"/>
    <x v="0"/>
    <s v="Rugs"/>
    <x v="1"/>
    <n v="108"/>
    <n v="48.5"/>
    <n v="5238"/>
    <x v="2"/>
    <x v="10"/>
    <n v="11"/>
  </r>
  <r>
    <x v="142"/>
    <d v="2025-11-23T00:00:00"/>
    <x v="3"/>
    <s v="Throws"/>
    <x v="0"/>
    <n v="76"/>
    <n v="68.05"/>
    <n v="5171.8"/>
    <x v="0"/>
    <x v="10"/>
    <n v="11"/>
  </r>
  <r>
    <x v="143"/>
    <d v="2025-11-24T00:00:00"/>
    <x v="2"/>
    <s v="Cushions"/>
    <x v="1"/>
    <n v="45"/>
    <n v="13.99"/>
    <n v="629.54999999999995"/>
    <x v="0"/>
    <x v="10"/>
    <n v="11"/>
  </r>
  <r>
    <x v="144"/>
    <d v="2025-11-25T00:00:00"/>
    <x v="3"/>
    <s v="Throws"/>
    <x v="1"/>
    <n v="65"/>
    <n v="63.81"/>
    <n v="4147.6500000000005"/>
    <x v="0"/>
    <x v="10"/>
    <n v="11"/>
  </r>
  <r>
    <x v="145"/>
    <d v="2025-11-29T00:00:00"/>
    <x v="1"/>
    <s v="Table Linen"/>
    <x v="5"/>
    <n v="38"/>
    <n v="18.72"/>
    <n v="711.3599999999999"/>
    <x v="0"/>
    <x v="10"/>
    <n v="11"/>
  </r>
  <r>
    <x v="146"/>
    <d v="2025-12-01T00:00:00"/>
    <x v="4"/>
    <s v="Storage"/>
    <x v="1"/>
    <n v="114"/>
    <n v="29.71"/>
    <n v="3386.94"/>
    <x v="3"/>
    <x v="11"/>
    <n v="12"/>
  </r>
  <r>
    <x v="147"/>
    <d v="2025-12-02T00:00:00"/>
    <x v="5"/>
    <s v="Wall Decor"/>
    <x v="2"/>
    <n v="92"/>
    <n v="33.340000000000003"/>
    <n v="3067.28"/>
    <x v="0"/>
    <x v="11"/>
    <n v="12"/>
  </r>
  <r>
    <x v="148"/>
    <d v="2025-12-04T00:00:00"/>
    <x v="5"/>
    <s v="Wall Decor"/>
    <x v="2"/>
    <n v="62"/>
    <n v="33.39"/>
    <n v="2070.1799999999998"/>
    <x v="2"/>
    <x v="11"/>
    <n v="12"/>
  </r>
  <r>
    <x v="149"/>
    <d v="2025-12-04T00:00:00"/>
    <x v="0"/>
    <s v="Rugs"/>
    <x v="2"/>
    <n v="45"/>
    <n v="53.9"/>
    <n v="2425.5"/>
    <x v="3"/>
    <x v="11"/>
    <n v="12"/>
  </r>
  <r>
    <x v="150"/>
    <d v="2025-12-05T00:00:00"/>
    <x v="2"/>
    <s v="Cushions"/>
    <x v="1"/>
    <n v="32"/>
    <n v="14.85"/>
    <n v="475.2"/>
    <x v="0"/>
    <x v="11"/>
    <n v="12"/>
  </r>
  <r>
    <x v="151"/>
    <d v="2025-12-11T00:00:00"/>
    <x v="1"/>
    <s v="Table Linen"/>
    <x v="3"/>
    <n v="22"/>
    <n v="17.32"/>
    <n v="381.04"/>
    <x v="2"/>
    <x v="11"/>
    <n v="12"/>
  </r>
  <r>
    <x v="152"/>
    <d v="2025-12-14T00:00:00"/>
    <x v="5"/>
    <s v="Wall Decor"/>
    <x v="0"/>
    <n v="117"/>
    <n v="33.39"/>
    <n v="3906.63"/>
    <x v="0"/>
    <x v="11"/>
    <n v="12"/>
  </r>
  <r>
    <x v="153"/>
    <d v="2025-12-16T00:00:00"/>
    <x v="1"/>
    <s v="Table Linen"/>
    <x v="1"/>
    <n v="91"/>
    <n v="17.72"/>
    <n v="1612.52"/>
    <x v="2"/>
    <x v="11"/>
    <n v="12"/>
  </r>
  <r>
    <x v="154"/>
    <d v="2025-12-18T00:00:00"/>
    <x v="1"/>
    <s v="Table Linen"/>
    <x v="3"/>
    <n v="104"/>
    <n v="19.510000000000002"/>
    <n v="2029.0400000000002"/>
    <x v="0"/>
    <x v="11"/>
    <n v="12"/>
  </r>
  <r>
    <x v="155"/>
    <d v="2025-12-20T00:00:00"/>
    <x v="0"/>
    <s v="Rugs"/>
    <x v="1"/>
    <n v="104"/>
    <n v="50.25"/>
    <n v="5226"/>
    <x v="2"/>
    <x v="11"/>
    <n v="12"/>
  </r>
  <r>
    <x v="156"/>
    <d v="2025-12-22T00:00:00"/>
    <x v="5"/>
    <s v="Wall Decor"/>
    <x v="2"/>
    <n v="61"/>
    <n v="35.61"/>
    <n v="2172.21"/>
    <x v="2"/>
    <x v="11"/>
    <n v="12"/>
  </r>
  <r>
    <x v="157"/>
    <d v="2025-12-26T00:00:00"/>
    <x v="2"/>
    <s v="Cushions"/>
    <x v="2"/>
    <n v="14"/>
    <n v="15.7"/>
    <n v="219.79999999999998"/>
    <x v="0"/>
    <x v="11"/>
    <n v="12"/>
  </r>
  <r>
    <x v="158"/>
    <d v="2025-12-26T00:00:00"/>
    <x v="3"/>
    <s v="Throws"/>
    <x v="5"/>
    <n v="76"/>
    <n v="74.069999999999993"/>
    <n v="5629.32"/>
    <x v="0"/>
    <x v="11"/>
    <n v="12"/>
  </r>
  <r>
    <x v="159"/>
    <d v="2025-12-28T00:00:00"/>
    <x v="3"/>
    <s v="Throws"/>
    <x v="0"/>
    <n v="68"/>
    <n v="62.68"/>
    <n v="4262.24"/>
    <x v="0"/>
    <x v="11"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6FAD9A-7BC9-44E6-82AF-035102E05BD6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0:Q15" firstHeaderRow="1" firstDataRow="1" firstDataCol="1"/>
  <pivotFields count="11">
    <pivotField dataField="1" showAll="0">
      <items count="161">
        <item x="143"/>
        <item x="25"/>
        <item x="2"/>
        <item x="145"/>
        <item x="0"/>
        <item x="78"/>
        <item x="60"/>
        <item x="20"/>
        <item x="131"/>
        <item x="21"/>
        <item x="81"/>
        <item x="153"/>
        <item x="39"/>
        <item x="76"/>
        <item x="14"/>
        <item x="147"/>
        <item x="56"/>
        <item x="132"/>
        <item x="7"/>
        <item x="13"/>
        <item x="1"/>
        <item x="144"/>
        <item x="59"/>
        <item x="71"/>
        <item x="118"/>
        <item x="80"/>
        <item x="23"/>
        <item x="35"/>
        <item x="136"/>
        <item x="73"/>
        <item x="99"/>
        <item x="49"/>
        <item x="15"/>
        <item x="106"/>
        <item x="104"/>
        <item x="148"/>
        <item x="151"/>
        <item x="30"/>
        <item x="65"/>
        <item x="123"/>
        <item x="50"/>
        <item x="12"/>
        <item x="100"/>
        <item x="107"/>
        <item x="121"/>
        <item x="116"/>
        <item x="135"/>
        <item x="128"/>
        <item x="133"/>
        <item x="51"/>
        <item x="18"/>
        <item x="47"/>
        <item x="83"/>
        <item x="146"/>
        <item x="27"/>
        <item x="68"/>
        <item x="61"/>
        <item x="64"/>
        <item x="38"/>
        <item x="19"/>
        <item x="124"/>
        <item x="4"/>
        <item x="126"/>
        <item x="40"/>
        <item x="89"/>
        <item x="157"/>
        <item x="102"/>
        <item x="149"/>
        <item x="66"/>
        <item x="77"/>
        <item x="62"/>
        <item x="93"/>
        <item x="58"/>
        <item x="154"/>
        <item x="16"/>
        <item x="72"/>
        <item x="125"/>
        <item x="44"/>
        <item x="69"/>
        <item x="95"/>
        <item x="43"/>
        <item x="24"/>
        <item x="6"/>
        <item x="90"/>
        <item x="52"/>
        <item x="28"/>
        <item x="8"/>
        <item x="103"/>
        <item x="96"/>
        <item x="98"/>
        <item x="142"/>
        <item x="94"/>
        <item x="119"/>
        <item x="48"/>
        <item x="46"/>
        <item x="129"/>
        <item x="91"/>
        <item x="108"/>
        <item x="152"/>
        <item x="140"/>
        <item x="22"/>
        <item x="85"/>
        <item x="67"/>
        <item x="9"/>
        <item x="3"/>
        <item x="105"/>
        <item x="82"/>
        <item x="41"/>
        <item x="84"/>
        <item x="141"/>
        <item x="32"/>
        <item x="17"/>
        <item x="29"/>
        <item x="37"/>
        <item x="117"/>
        <item x="55"/>
        <item x="138"/>
        <item x="109"/>
        <item x="158"/>
        <item x="86"/>
        <item x="110"/>
        <item x="53"/>
        <item x="92"/>
        <item x="57"/>
        <item x="155"/>
        <item x="115"/>
        <item x="79"/>
        <item x="11"/>
        <item x="26"/>
        <item x="10"/>
        <item x="111"/>
        <item x="127"/>
        <item x="137"/>
        <item x="97"/>
        <item x="139"/>
        <item x="150"/>
        <item x="87"/>
        <item x="159"/>
        <item x="63"/>
        <item x="122"/>
        <item x="42"/>
        <item x="34"/>
        <item x="120"/>
        <item x="75"/>
        <item x="130"/>
        <item x="5"/>
        <item x="134"/>
        <item x="88"/>
        <item x="156"/>
        <item x="101"/>
        <item x="113"/>
        <item x="114"/>
        <item x="45"/>
        <item x="33"/>
        <item x="74"/>
        <item x="31"/>
        <item x="70"/>
        <item x="54"/>
        <item x="36"/>
        <item x="112"/>
        <item t="default"/>
      </items>
    </pivotField>
    <pivotField numFmtId="164" showAll="0"/>
    <pivotField showAll="0"/>
    <pivotField showAll="0"/>
    <pivotField showAll="0"/>
    <pivotField showAll="0"/>
    <pivotField numFmtId="165" showAll="0"/>
    <pivotField numFmtId="165"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937760-7E1C-409B-B090-B68E8317EACB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0:L17" firstHeaderRow="1" firstDataRow="1" firstDataCol="1"/>
  <pivotFields count="11">
    <pivotField showAll="0"/>
    <pivotField numFmtId="164" showAll="0"/>
    <pivotField showAll="0"/>
    <pivotField showAll="0"/>
    <pivotField axis="axisRow" showAll="0">
      <items count="7">
        <item x="4"/>
        <item x="3"/>
        <item x="5"/>
        <item x="0"/>
        <item x="1"/>
        <item x="2"/>
        <item t="default"/>
      </items>
    </pivotField>
    <pivotField showAll="0"/>
    <pivotField numFmtId="165" showAll="0"/>
    <pivotField dataField="1" numFmtId="165" showAll="0"/>
    <pivotField showAll="0"/>
    <pivotField showAll="0"/>
    <pivotField showAll="0"/>
  </pivotFields>
  <rowFields count="1">
    <field x="4"/>
  </rowFields>
  <rowItems count="7">
    <i>
      <x v="4"/>
    </i>
    <i>
      <x v="5"/>
    </i>
    <i>
      <x v="2"/>
    </i>
    <i>
      <x v="3"/>
    </i>
    <i>
      <x v="1"/>
    </i>
    <i>
      <x/>
    </i>
    <i t="grand">
      <x/>
    </i>
  </rowItems>
  <colItems count="1">
    <i/>
  </colItems>
  <dataFields count="1">
    <dataField name="Sum of Revenue (USD)" fld="7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5AC47C-B63D-4C12-AB36-837DE08354F1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0:G17" firstHeaderRow="1" firstDataRow="1" firstDataCol="1"/>
  <pivotFields count="11">
    <pivotField showAll="0"/>
    <pivotField numFmtId="164" showAll="0"/>
    <pivotField axis="axisRow" showAll="0" sortType="descending">
      <items count="7">
        <item x="1"/>
        <item x="2"/>
        <item x="0"/>
        <item x="5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5" showAll="0"/>
    <pivotField dataField="1" numFmtId="165" showAll="0"/>
    <pivotField showAll="0"/>
    <pivotField showAll="0"/>
    <pivotField showAll="0"/>
  </pivotFields>
  <rowFields count="1">
    <field x="2"/>
  </rowFields>
  <rowItems count="7">
    <i>
      <x v="2"/>
    </i>
    <i>
      <x v="4"/>
    </i>
    <i>
      <x v="3"/>
    </i>
    <i>
      <x v="5"/>
    </i>
    <i>
      <x/>
    </i>
    <i>
      <x v="1"/>
    </i>
    <i t="grand">
      <x/>
    </i>
  </rowItems>
  <colItems count="1">
    <i/>
  </colItems>
  <dataFields count="1">
    <dataField name="Sum of Revenue (USD)" fld="7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B840B7-AE51-40C4-AA59-BB9BE70F5D38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B23" firstHeaderRow="1" firstDataRow="1" firstDataCol="1"/>
  <pivotFields count="11">
    <pivotField showAll="0"/>
    <pivotField numFmtId="164" showAll="0"/>
    <pivotField showAll="0"/>
    <pivotField showAll="0"/>
    <pivotField showAll="0"/>
    <pivotField showAll="0"/>
    <pivotField numFmtId="165" showAll="0"/>
    <pivotField dataField="1" numFmtId="165"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 (USD)" fld="7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4FD35B-DE13-4ABE-B1C3-A3A6253A0D80}" name="PivotTable1" cacheId="11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1">
    <pivotField dataField="1" showAll="0">
      <items count="161">
        <item x="143"/>
        <item x="25"/>
        <item x="2"/>
        <item x="145"/>
        <item x="0"/>
        <item x="78"/>
        <item x="60"/>
        <item x="20"/>
        <item x="131"/>
        <item x="21"/>
        <item x="81"/>
        <item x="153"/>
        <item x="39"/>
        <item x="76"/>
        <item x="14"/>
        <item x="147"/>
        <item x="56"/>
        <item x="132"/>
        <item x="7"/>
        <item x="13"/>
        <item x="1"/>
        <item x="144"/>
        <item x="59"/>
        <item x="71"/>
        <item x="118"/>
        <item x="80"/>
        <item x="23"/>
        <item x="35"/>
        <item x="136"/>
        <item x="73"/>
        <item x="99"/>
        <item x="49"/>
        <item x="15"/>
        <item x="106"/>
        <item x="104"/>
        <item x="148"/>
        <item x="151"/>
        <item x="30"/>
        <item x="65"/>
        <item x="123"/>
        <item x="50"/>
        <item x="12"/>
        <item x="100"/>
        <item x="107"/>
        <item x="121"/>
        <item x="116"/>
        <item x="135"/>
        <item x="128"/>
        <item x="133"/>
        <item x="51"/>
        <item x="18"/>
        <item x="47"/>
        <item x="83"/>
        <item x="146"/>
        <item x="27"/>
        <item x="68"/>
        <item x="61"/>
        <item x="64"/>
        <item x="38"/>
        <item x="19"/>
        <item x="124"/>
        <item x="4"/>
        <item x="126"/>
        <item x="40"/>
        <item x="89"/>
        <item x="157"/>
        <item x="102"/>
        <item x="149"/>
        <item x="66"/>
        <item x="77"/>
        <item x="62"/>
        <item x="93"/>
        <item x="58"/>
        <item x="154"/>
        <item x="16"/>
        <item x="72"/>
        <item x="125"/>
        <item x="44"/>
        <item x="69"/>
        <item x="95"/>
        <item x="43"/>
        <item x="24"/>
        <item x="6"/>
        <item x="90"/>
        <item x="52"/>
        <item x="28"/>
        <item x="8"/>
        <item x="103"/>
        <item x="96"/>
        <item x="98"/>
        <item x="142"/>
        <item x="94"/>
        <item x="119"/>
        <item x="48"/>
        <item x="46"/>
        <item x="129"/>
        <item x="91"/>
        <item x="108"/>
        <item x="152"/>
        <item x="140"/>
        <item x="22"/>
        <item x="85"/>
        <item x="67"/>
        <item x="9"/>
        <item x="3"/>
        <item x="105"/>
        <item x="82"/>
        <item x="41"/>
        <item x="84"/>
        <item x="141"/>
        <item x="32"/>
        <item x="17"/>
        <item x="29"/>
        <item x="37"/>
        <item x="117"/>
        <item x="55"/>
        <item x="138"/>
        <item x="109"/>
        <item x="158"/>
        <item x="86"/>
        <item x="110"/>
        <item x="53"/>
        <item x="92"/>
        <item x="57"/>
        <item x="155"/>
        <item x="115"/>
        <item x="79"/>
        <item x="11"/>
        <item x="26"/>
        <item x="10"/>
        <item x="111"/>
        <item x="127"/>
        <item x="137"/>
        <item x="97"/>
        <item x="139"/>
        <item x="150"/>
        <item x="87"/>
        <item x="159"/>
        <item x="63"/>
        <item x="122"/>
        <item x="42"/>
        <item x="34"/>
        <item x="120"/>
        <item x="75"/>
        <item x="130"/>
        <item x="5"/>
        <item x="134"/>
        <item x="88"/>
        <item x="156"/>
        <item x="101"/>
        <item x="113"/>
        <item x="114"/>
        <item x="45"/>
        <item x="33"/>
        <item x="74"/>
        <item x="31"/>
        <item x="70"/>
        <item x="54"/>
        <item x="36"/>
        <item x="112"/>
        <item t="default"/>
      </items>
    </pivotField>
    <pivotField numFmtId="164" showAll="0"/>
    <pivotField showAll="0"/>
    <pivotField showAll="0"/>
    <pivotField showAll="0"/>
    <pivotField dataField="1" showAll="0"/>
    <pivotField numFmtId="165" showAll="0"/>
    <pivotField dataField="1" numFmtId="165" showAll="0"/>
    <pivotField showAll="0"/>
    <pivotField showAll="0"/>
    <pivotField showAll="0"/>
  </pivotFields>
  <rowFields count="1">
    <field x="-2"/>
  </rowFields>
  <rowItems count="4">
    <i>
      <x/>
    </i>
    <i i="1">
      <x v="1"/>
    </i>
    <i i="2">
      <x v="2"/>
    </i>
    <i i="3">
      <x v="3"/>
    </i>
  </rowItems>
  <colItems count="1">
    <i/>
  </colItems>
  <dataFields count="4">
    <dataField name="Total Revenue" fld="7" baseField="0" baseItem="0" numFmtId="167"/>
    <dataField name="Total Orders" fld="0" subtotal="count" baseField="0" baseItem="1"/>
    <dataField name="Average Order Value" fld="7" subtotal="average" baseField="0" baseItem="2" numFmtId="1"/>
    <dataField name="Units sold" fld="5" baseField="0" baseItem="3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41100A-806A-47EA-AFFB-53B7D0FF5CFF}" name="PivotTable9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tatus">
  <location ref="K10:L15" firstHeaderRow="1" firstDataRow="1" firstDataCol="1"/>
  <pivotFields count="11">
    <pivotField dataField="1" showAll="0">
      <items count="161">
        <item x="143"/>
        <item x="25"/>
        <item x="2"/>
        <item x="145"/>
        <item x="0"/>
        <item x="78"/>
        <item x="60"/>
        <item x="20"/>
        <item x="131"/>
        <item x="21"/>
        <item x="81"/>
        <item x="153"/>
        <item x="39"/>
        <item x="76"/>
        <item x="14"/>
        <item x="147"/>
        <item x="56"/>
        <item x="132"/>
        <item x="7"/>
        <item x="13"/>
        <item x="1"/>
        <item x="144"/>
        <item x="59"/>
        <item x="71"/>
        <item x="118"/>
        <item x="80"/>
        <item x="23"/>
        <item x="35"/>
        <item x="136"/>
        <item x="73"/>
        <item x="99"/>
        <item x="49"/>
        <item x="15"/>
        <item x="106"/>
        <item x="104"/>
        <item x="148"/>
        <item x="151"/>
        <item x="30"/>
        <item x="65"/>
        <item x="123"/>
        <item x="50"/>
        <item x="12"/>
        <item x="100"/>
        <item x="107"/>
        <item x="121"/>
        <item x="116"/>
        <item x="135"/>
        <item x="128"/>
        <item x="133"/>
        <item x="51"/>
        <item x="18"/>
        <item x="47"/>
        <item x="83"/>
        <item x="146"/>
        <item x="27"/>
        <item x="68"/>
        <item x="61"/>
        <item x="64"/>
        <item x="38"/>
        <item x="19"/>
        <item x="124"/>
        <item x="4"/>
        <item x="126"/>
        <item x="40"/>
        <item x="89"/>
        <item x="157"/>
        <item x="102"/>
        <item x="149"/>
        <item x="66"/>
        <item x="77"/>
        <item x="62"/>
        <item x="93"/>
        <item x="58"/>
        <item x="154"/>
        <item x="16"/>
        <item x="72"/>
        <item x="125"/>
        <item x="44"/>
        <item x="69"/>
        <item x="95"/>
        <item x="43"/>
        <item x="24"/>
        <item x="6"/>
        <item x="90"/>
        <item x="52"/>
        <item x="28"/>
        <item x="8"/>
        <item x="103"/>
        <item x="96"/>
        <item x="98"/>
        <item x="142"/>
        <item x="94"/>
        <item x="119"/>
        <item x="48"/>
        <item x="46"/>
        <item x="129"/>
        <item x="91"/>
        <item x="108"/>
        <item x="152"/>
        <item x="140"/>
        <item x="22"/>
        <item x="85"/>
        <item x="67"/>
        <item x="9"/>
        <item x="3"/>
        <item x="105"/>
        <item x="82"/>
        <item x="41"/>
        <item x="84"/>
        <item x="141"/>
        <item x="32"/>
        <item x="17"/>
        <item x="29"/>
        <item x="37"/>
        <item x="117"/>
        <item x="55"/>
        <item x="138"/>
        <item x="109"/>
        <item x="158"/>
        <item x="86"/>
        <item x="110"/>
        <item x="53"/>
        <item x="92"/>
        <item x="57"/>
        <item x="155"/>
        <item x="115"/>
        <item x="79"/>
        <item x="11"/>
        <item x="26"/>
        <item x="10"/>
        <item x="111"/>
        <item x="127"/>
        <item x="137"/>
        <item x="97"/>
        <item x="139"/>
        <item x="150"/>
        <item x="87"/>
        <item x="159"/>
        <item x="63"/>
        <item x="122"/>
        <item x="42"/>
        <item x="34"/>
        <item x="120"/>
        <item x="75"/>
        <item x="130"/>
        <item x="5"/>
        <item x="134"/>
        <item x="88"/>
        <item x="156"/>
        <item x="101"/>
        <item x="113"/>
        <item x="114"/>
        <item x="45"/>
        <item x="33"/>
        <item x="74"/>
        <item x="31"/>
        <item x="70"/>
        <item x="54"/>
        <item x="36"/>
        <item x="112"/>
        <item t="default"/>
      </items>
    </pivotField>
    <pivotField numFmtId="164" showAll="0"/>
    <pivotField showAll="0"/>
    <pivotField showAll="0"/>
    <pivotField showAll="0"/>
    <pivotField showAll="0"/>
    <pivotField numFmtId="165" showAll="0"/>
    <pivotField numFmtId="165"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Orders" fld="0" subtotal="count" baseField="8" baseItem="0"/>
  </dataFields>
  <formats count="28">
    <format dxfId="87">
      <pivotArea type="all" dataOnly="0" outline="0" fieldPosition="0"/>
    </format>
    <format dxfId="86">
      <pivotArea outline="0" collapsedLevelsAreSubtotals="1" fieldPosition="0"/>
    </format>
    <format dxfId="85">
      <pivotArea field="8" type="button" dataOnly="0" labelOnly="1" outline="0" axis="axisRow" fieldPosition="0"/>
    </format>
    <format dxfId="84">
      <pivotArea dataOnly="0" labelOnly="1" fieldPosition="0">
        <references count="1">
          <reference field="8" count="0"/>
        </references>
      </pivotArea>
    </format>
    <format dxfId="83">
      <pivotArea dataOnly="0" labelOnly="1" grandRow="1" outline="0" fieldPosition="0"/>
    </format>
    <format dxfId="82">
      <pivotArea dataOnly="0" labelOnly="1" outline="0" axis="axisValues" fieldPosition="0"/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8" type="button" dataOnly="0" labelOnly="1" outline="0" axis="axisRow" fieldPosition="0"/>
    </format>
    <format dxfId="60">
      <pivotArea dataOnly="0" labelOnly="1" fieldPosition="0">
        <references count="1">
          <reference field="8" count="0"/>
        </references>
      </pivotArea>
    </format>
    <format dxfId="59">
      <pivotArea dataOnly="0" labelOnly="1" grandRow="1" outline="0" fieldPosition="0"/>
    </format>
    <format dxfId="58">
      <pivotArea dataOnly="0" labelOnly="1" outline="0" axis="axisValues" fieldPosition="0"/>
    </format>
    <format dxfId="45">
      <pivotArea grandRow="1" outline="0" collapsedLevelsAreSubtotals="1" fieldPosition="0"/>
    </format>
    <format dxfId="44">
      <pivotArea dataOnly="0" labelOnly="1" grandRow="1" outline="0" fieldPosition="0"/>
    </format>
    <format dxfId="43">
      <pivotArea field="8" type="button" dataOnly="0" labelOnly="1" outline="0" axis="axisRow" fieldPosition="0"/>
    </format>
    <format dxfId="42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8" type="button" dataOnly="0" labelOnly="1" outline="0" axis="axisRow" fieldPosition="0"/>
    </format>
    <format dxfId="26">
      <pivotArea dataOnly="0" labelOnly="1" fieldPosition="0">
        <references count="1">
          <reference field="8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8" type="button" dataOnly="0" labelOnly="1" outline="0" axis="axisRow" fieldPosition="0"/>
    </format>
    <format dxfId="20">
      <pivotArea dataOnly="0" labelOnly="1" fieldPosition="0">
        <references count="1">
          <reference field="8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7F49E4-8B06-419A-84F9-BF3F43D0AF01}" name="PivotTable8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ountry">
  <location ref="H10:I17" firstHeaderRow="1" firstDataRow="1" firstDataCol="1"/>
  <pivotFields count="11">
    <pivotField showAll="0"/>
    <pivotField numFmtId="164" showAll="0"/>
    <pivotField showAll="0"/>
    <pivotField showAll="0"/>
    <pivotField axis="axisRow" showAll="0">
      <items count="7">
        <item x="4"/>
        <item x="3"/>
        <item x="5"/>
        <item x="0"/>
        <item x="1"/>
        <item x="2"/>
        <item t="default"/>
      </items>
    </pivotField>
    <pivotField showAll="0"/>
    <pivotField numFmtId="165" showAll="0"/>
    <pivotField dataField="1" numFmtId="165"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Revenue" fld="7" baseField="4" baseItem="4" numFmtId="1"/>
  </dataFields>
  <formats count="29">
    <format dxfId="92">
      <pivotArea field="4" type="button" dataOnly="0" labelOnly="1" outline="0" axis="axisRow" fieldPosition="0"/>
    </format>
    <format dxfId="91">
      <pivotArea dataOnly="0" labelOnly="1" outline="0" axis="axisValues" fieldPosition="0"/>
    </format>
    <format dxfId="90">
      <pivotArea field="4" type="button" dataOnly="0" labelOnly="1" outline="0" axis="axisRow" fieldPosition="0"/>
    </format>
    <format dxfId="89">
      <pivotArea dataOnly="0" labelOnly="1" outline="0" axis="axisValues" fieldPosition="0"/>
    </format>
    <format dxfId="88">
      <pivotArea dataOnly="0" grandRow="1" axis="axisRow" fieldPosition="0"/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4" type="button" dataOnly="0" labelOnly="1" outline="0" axis="axisRow" fieldPosition="0"/>
    </format>
    <format dxfId="78">
      <pivotArea dataOnly="0" labelOnly="1" fieldPosition="0">
        <references count="1">
          <reference field="4" count="0"/>
        </references>
      </pivotArea>
    </format>
    <format dxfId="77">
      <pivotArea dataOnly="0" labelOnly="1" grandRow="1" outline="0" fieldPosition="0"/>
    </format>
    <format dxfId="76">
      <pivotArea dataOnly="0" labelOnly="1" outline="0" axis="axisValues" fieldPosition="0"/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4" type="button" dataOnly="0" labelOnly="1" outline="0" axis="axisRow" fieldPosition="0"/>
    </format>
    <format dxfId="54">
      <pivotArea dataOnly="0" labelOnly="1" fieldPosition="0">
        <references count="1">
          <reference field="4" count="0"/>
        </references>
      </pivotArea>
    </format>
    <format dxfId="53">
      <pivotArea dataOnly="0" labelOnly="1" grandRow="1" outline="0" fieldPosition="0"/>
    </format>
    <format dxfId="52">
      <pivotArea dataOnly="0" labelOnly="1" outline="0" axis="axisValues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4" type="button" dataOnly="0" labelOnly="1" outline="0" axis="axisRow" fieldPosition="0"/>
    </format>
    <format dxfId="32">
      <pivotArea dataOnly="0" labelOnly="1" fieldPosition="0">
        <references count="1">
          <reference field="4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4" type="button" dataOnly="0" labelOnly="1" outline="0" axis="axisRow" fieldPosition="0"/>
    </format>
    <format dxfId="14">
      <pivotArea dataOnly="0" labelOnly="1" fieldPosition="0">
        <references count="1">
          <reference field="4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D05A66-A310-437B-B143-C52EF5B5D905}" name="PivotTable7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duct">
  <location ref="E10:F17" firstHeaderRow="1" firstDataRow="1" firstDataCol="1"/>
  <pivotFields count="11">
    <pivotField showAll="0"/>
    <pivotField numFmtId="164" showAll="0"/>
    <pivotField axis="axisRow" showAll="0" sortType="descending">
      <items count="7">
        <item x="1"/>
        <item x="2"/>
        <item x="0"/>
        <item x="5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5" showAll="0"/>
    <pivotField dataField="1" numFmtId="165" showAll="0"/>
    <pivotField showAll="0"/>
    <pivotField showAll="0"/>
    <pivotField showAll="0"/>
  </pivotFields>
  <rowFields count="1">
    <field x="2"/>
  </rowFields>
  <rowItems count="7">
    <i>
      <x v="2"/>
    </i>
    <i>
      <x v="4"/>
    </i>
    <i>
      <x v="3"/>
    </i>
    <i>
      <x v="5"/>
    </i>
    <i>
      <x/>
    </i>
    <i>
      <x v="1"/>
    </i>
    <i t="grand">
      <x/>
    </i>
  </rowItems>
  <colItems count="1">
    <i/>
  </colItems>
  <dataFields count="1">
    <dataField name="Revenue" fld="7" baseField="2" baseItem="2" numFmtId="1"/>
  </dataFields>
  <formats count="28">
    <format dxfId="96">
      <pivotArea field="2" type="button" dataOnly="0" labelOnly="1" outline="0" axis="axisRow" fieldPosition="0"/>
    </format>
    <format dxfId="95">
      <pivotArea dataOnly="0" labelOnly="1" outline="0" axis="axisValues" fieldPosition="0"/>
    </format>
    <format dxfId="94">
      <pivotArea grandRow="1" outline="0" collapsedLevelsAreSubtotals="1" fieldPosition="0"/>
    </format>
    <format dxfId="93">
      <pivotArea dataOnly="0" labelOnly="1" grandRow="1" outline="0" fieldPosition="0"/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2" type="button" dataOnly="0" labelOnly="1" outline="0" axis="axisRow" fieldPosition="0"/>
    </format>
    <format dxfId="72">
      <pivotArea dataOnly="0" labelOnly="1" fieldPosition="0">
        <references count="1">
          <reference field="2" count="0"/>
        </references>
      </pivotArea>
    </format>
    <format dxfId="71">
      <pivotArea dataOnly="0" labelOnly="1" grandRow="1" outline="0" fieldPosition="0"/>
    </format>
    <format dxfId="70">
      <pivotArea dataOnly="0" labelOnly="1" outline="0" axis="axisValues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2" type="button" dataOnly="0" labelOnly="1" outline="0" axis="axisRow" fieldPosition="0"/>
    </format>
    <format dxfId="48">
      <pivotArea dataOnly="0" labelOnly="1" fieldPosition="0">
        <references count="1">
          <reference field="2" count="0"/>
        </references>
      </pivotArea>
    </format>
    <format dxfId="47">
      <pivotArea dataOnly="0" labelOnly="1" grandRow="1" outline="0" fieldPosition="0"/>
    </format>
    <format dxfId="46">
      <pivotArea dataOnly="0" labelOnly="1" outline="0" axis="axisValues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2" type="button" dataOnly="0" labelOnly="1" outline="0" axis="axisRow" fieldPosition="0"/>
    </format>
    <format dxfId="38">
      <pivotArea dataOnly="0" labelOnly="1" fieldPosition="0">
        <references count="1">
          <reference field="2" count="0"/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FE5FA6-29C9-441A-B1A1-5A4EF9600BBE}" name="PivotTable6" cacheId="11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3" rowHeaderCaption="Month">
  <location ref="B10:C23" firstHeaderRow="1" firstDataRow="1" firstDataCol="1"/>
  <pivotFields count="11">
    <pivotField showAll="0"/>
    <pivotField numFmtId="164" showAll="0"/>
    <pivotField showAll="0"/>
    <pivotField showAll="0"/>
    <pivotField showAll="0"/>
    <pivotField showAll="0"/>
    <pivotField numFmtId="165" showAll="0"/>
    <pivotField dataField="1" numFmtId="165"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Revenue" fld="7" baseField="9" baseItem="0" numFmtId="1"/>
  </dataFields>
  <formats count="39">
    <format dxfId="123">
      <pivotArea field="9" type="button" dataOnly="0" labelOnly="1" outline="0" axis="axisRow" fieldPosition="0"/>
    </format>
    <format dxfId="122">
      <pivotArea dataOnly="0" labelOnly="1" outline="0" axis="axisValues" fieldPosition="0"/>
    </format>
    <format dxfId="121">
      <pivotArea field="9" type="button" dataOnly="0" labelOnly="1" outline="0" axis="axisRow" fieldPosition="0"/>
    </format>
    <format dxfId="120">
      <pivotArea dataOnly="0" labelOnly="1" outline="0" axis="axisValues" fieldPosition="0"/>
    </format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9" type="button" dataOnly="0" labelOnly="1" outline="0" axis="axisRow" fieldPosition="0"/>
    </format>
    <format dxfId="116">
      <pivotArea dataOnly="0" labelOnly="1" fieldPosition="0">
        <references count="1">
          <reference field="9" count="0"/>
        </references>
      </pivotArea>
    </format>
    <format dxfId="115">
      <pivotArea dataOnly="0" labelOnly="1" grandRow="1" outline="0" fieldPosition="0"/>
    </format>
    <format dxfId="114">
      <pivotArea dataOnly="0" labelOnly="1" outline="0" axis="axisValues" fieldPosition="0"/>
    </format>
    <format dxfId="113">
      <pivotArea type="all" dataOnly="0" outline="0" fieldPosition="0"/>
    </format>
    <format dxfId="112">
      <pivotArea outline="0" collapsedLevelsAreSubtotals="1" fieldPosition="0"/>
    </format>
    <format dxfId="111">
      <pivotArea field="9" type="button" dataOnly="0" labelOnly="1" outline="0" axis="axisRow" fieldPosition="0"/>
    </format>
    <format dxfId="110">
      <pivotArea dataOnly="0" labelOnly="1" fieldPosition="0">
        <references count="1">
          <reference field="9" count="0"/>
        </references>
      </pivotArea>
    </format>
    <format dxfId="109">
      <pivotArea dataOnly="0" labelOnly="1" grandRow="1" outline="0" fieldPosition="0"/>
    </format>
    <format dxfId="108">
      <pivotArea dataOnly="0" labelOnly="1" outline="0" axis="axisValues" fieldPosition="0"/>
    </format>
    <format dxfId="107">
      <pivotArea field="9" type="button" dataOnly="0" labelOnly="1" outline="0" axis="axisRow" fieldPosition="0"/>
    </format>
    <format dxfId="106">
      <pivotArea dataOnly="0" labelOnly="1" outline="0" axis="axisValues" fieldPosition="0"/>
    </format>
    <format dxfId="105">
      <pivotArea field="9" type="button" dataOnly="0" labelOnly="1" outline="0" axis="axisRow" fieldPosition="0"/>
    </format>
    <format dxfId="104">
      <pivotArea dataOnly="0" labelOnly="1" outline="0" axis="axisValues" fieldPosition="0"/>
    </format>
    <format dxfId="103">
      <pivotArea dataOnly="0" grandRow="1" axis="axisRow" fieldPosition="0"/>
    </format>
    <format dxfId="102">
      <pivotArea type="all" dataOnly="0" outline="0" fieldPosition="0"/>
    </format>
    <format dxfId="101">
      <pivotArea outline="0" collapsedLevelsAreSubtotals="1" fieldPosition="0"/>
    </format>
    <format dxfId="100">
      <pivotArea field="9" type="button" dataOnly="0" labelOnly="1" outline="0" axis="axisRow" fieldPosition="0"/>
    </format>
    <format dxfId="99">
      <pivotArea dataOnly="0" labelOnly="1" fieldPosition="0">
        <references count="1">
          <reference field="9" count="0"/>
        </references>
      </pivotArea>
    </format>
    <format dxfId="98">
      <pivotArea dataOnly="0" labelOnly="1" grandRow="1" outline="0" fieldPosition="0"/>
    </format>
    <format dxfId="97">
      <pivotArea dataOnly="0" labelOnly="1" outline="0" axis="axisValues" fieldPosition="0"/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9" type="button" dataOnly="0" labelOnly="1" outline="0" axis="axisRow" fieldPosition="0"/>
    </format>
    <format dxfId="66">
      <pivotArea dataOnly="0" labelOnly="1" fieldPosition="0">
        <references count="1">
          <reference field="9" count="0"/>
        </references>
      </pivotArea>
    </format>
    <format dxfId="65">
      <pivotArea dataOnly="0" labelOnly="1" grandRow="1" outline="0" fieldPosition="0"/>
    </format>
    <format dxfId="64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9" type="button" dataOnly="0" labelOnly="1" outline="0" axis="axisRow" fieldPosition="0"/>
    </format>
    <format dxfId="2">
      <pivotArea dataOnly="0" labelOnly="1" fieldPosition="0">
        <references count="1">
          <reference field="9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44FA98-6019-4929-A10B-EC170904036B}" name="Table2" displayName="Table2" ref="A1:K161" totalsRowShown="0" headerRowDxfId="130" headerRowBorderDxfId="141" tableBorderDxfId="142" totalsRowBorderDxfId="140">
  <autoFilter ref="A1:K161" xr:uid="{3344FA98-6019-4929-A10B-EC170904036B}"/>
  <tableColumns count="11">
    <tableColumn id="1" xr3:uid="{45EB69EE-7905-4ADF-89A8-A82C00DCB2C7}" name="Order ID" dataDxfId="139"/>
    <tableColumn id="2" xr3:uid="{4434ECBC-CF5F-4279-98A1-78E112A601AA}" name="Date" dataDxfId="138"/>
    <tableColumn id="3" xr3:uid="{6D57E512-E6B7-4EA3-9C46-D8AA4288463F}" name="Product" dataDxfId="137"/>
    <tableColumn id="4" xr3:uid="{F57C924F-25E4-47AE-8687-5C416B3C3F30}" name="Category" dataDxfId="136"/>
    <tableColumn id="5" xr3:uid="{B6CFEFDB-FB54-4C55-8BFA-B013F70F1869}" name="Export Country" dataDxfId="135"/>
    <tableColumn id="6" xr3:uid="{FAD2D485-4DD0-4FF4-8FA8-A8E5FB47118D}" name="Quantity" dataDxfId="134"/>
    <tableColumn id="7" xr3:uid="{F11C4C43-DCAD-427B-AAA9-A6D455E76B40}" name="Unit Price (USD)" dataDxfId="133"/>
    <tableColumn id="8" xr3:uid="{626C4136-F1C8-41DA-9169-1BE38CE0ED88}" name="Revenue (USD)" dataDxfId="132">
      <calculatedColumnFormula>F2*G2</calculatedColumnFormula>
    </tableColumn>
    <tableColumn id="9" xr3:uid="{8996C4EB-901A-4103-B0C5-E032FBBD9417}" name="Order Status" dataDxfId="131"/>
    <tableColumn id="10" xr3:uid="{3B6F50A8-7906-4418-98E0-993B42AAE3E2}" name="Month" dataDxfId="129">
      <calculatedColumnFormula>TEXT(Table2[[#This Row],[Date]],"mmm")</calculatedColumnFormula>
    </tableColumn>
    <tableColumn id="11" xr3:uid="{4C464A42-C281-46FE-9CE2-34A1A871FD1A}" name="Month Number" dataDxfId="126">
      <calculatedColumnFormula>MONTH(Table2[[#This Row],[Date]])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43136F7-9BF2-441E-B21D-146354A3796B}" name="Table5" displayName="Table5" ref="A1:K161" totalsRowShown="0">
  <autoFilter ref="A1:K161" xr:uid="{C43136F7-9BF2-441E-B21D-146354A3796B}"/>
  <tableColumns count="11">
    <tableColumn id="1" xr3:uid="{84D29BFB-0ACA-4DFA-8696-61F776C57DC9}" name="Order ID"/>
    <tableColumn id="2" xr3:uid="{28FD48ED-3078-4667-A2B2-B24A5182BFEB}" name="Date" dataDxfId="125"/>
    <tableColumn id="3" xr3:uid="{CB349637-3401-474B-98DB-753802ECAD56}" name="Product"/>
    <tableColumn id="4" xr3:uid="{5337D654-2AF9-416C-BD72-57247C6D3729}" name="Category"/>
    <tableColumn id="5" xr3:uid="{4069E190-70CB-4B8C-9BAA-F858E2CEB454}" name="Export Country"/>
    <tableColumn id="6" xr3:uid="{986BBB94-EDB6-4851-B08B-BA55DE7BC703}" name="Quantity"/>
    <tableColumn id="7" xr3:uid="{35E26DAA-C372-444A-9D9D-06C6331090C4}" name="Unit Price (USD)"/>
    <tableColumn id="8" xr3:uid="{A63C4C0A-A2F4-40F6-8BA7-DCFC11A7607C}" name="Revenue (USD)"/>
    <tableColumn id="9" xr3:uid="{E12861FF-AF91-411D-8AEF-46263C1B124A}" name="Order Status"/>
    <tableColumn id="10" xr3:uid="{855E103D-4F90-4CF9-9BBB-413145DF1204}" name="Month"/>
    <tableColumn id="11" xr3:uid="{C27E26B3-EFB8-4960-AB68-6C2C48EA2EDC}" name="Month Numb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BF8C219-9612-4A64-B30D-1BB77EA47762}" name="Table6" displayName="Table6" ref="A1:K14" totalsRowShown="0">
  <autoFilter ref="A1:K14" xr:uid="{5BF8C219-9612-4A64-B30D-1BB77EA47762}"/>
  <tableColumns count="11">
    <tableColumn id="1" xr3:uid="{63085AAD-DE35-40D2-8125-598D40D1C9AD}" name="Order ID"/>
    <tableColumn id="2" xr3:uid="{3DE065C3-E6B3-4F00-88AF-86A66604B054}" name="Date" dataDxfId="124"/>
    <tableColumn id="3" xr3:uid="{5A9610EB-755D-46A6-919C-D72E3C6370B9}" name="Product"/>
    <tableColumn id="4" xr3:uid="{25E071AF-D620-4012-B33D-A2C6BE655957}" name="Category"/>
    <tableColumn id="5" xr3:uid="{78079013-74F6-45E3-946C-B4380AA60ADD}" name="Export Country"/>
    <tableColumn id="6" xr3:uid="{BABF3BC8-F60E-4074-BAFF-6B3FCFA3A9E0}" name="Quantity"/>
    <tableColumn id="7" xr3:uid="{92BD94DA-7C18-4F68-B6C3-7F24699D2D84}" name="Unit Price (USD)"/>
    <tableColumn id="8" xr3:uid="{BF5B9AC1-ACF5-4E9E-BDD1-233E720FB143}" name="Revenue (USD)"/>
    <tableColumn id="9" xr3:uid="{ED521671-AD0E-477F-8A5A-290843EF09BD}" name="Order Status"/>
    <tableColumn id="10" xr3:uid="{3EF47568-BA41-4035-B8C8-05E5FADDB969}" name="Month"/>
    <tableColumn id="11" xr3:uid="{93F816D9-6BED-4B95-A71A-185008FCED00}" name="Month 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1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8.6640625" defaultRowHeight="14.4" x14ac:dyDescent="0.3"/>
  <cols>
    <col min="1" max="2" width="12" customWidth="1"/>
    <col min="3" max="3" width="26" customWidth="1"/>
    <col min="4" max="4" width="14" customWidth="1"/>
    <col min="5" max="5" width="18" customWidth="1"/>
    <col min="6" max="6" width="11.109375" customWidth="1"/>
    <col min="7" max="7" width="18.44140625" customWidth="1"/>
    <col min="8" max="8" width="17.77734375" customWidth="1"/>
    <col min="9" max="9" width="17.77734375" bestFit="1" customWidth="1"/>
    <col min="10" max="10" width="11.44140625" bestFit="1" customWidth="1"/>
  </cols>
  <sheetData>
    <row r="1" spans="1:11" s="7" customFormat="1" x14ac:dyDescent="0.3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1" t="s">
        <v>8</v>
      </c>
      <c r="J1" s="20" t="s">
        <v>200</v>
      </c>
      <c r="K1" s="20" t="s">
        <v>219</v>
      </c>
    </row>
    <row r="2" spans="1:11" x14ac:dyDescent="0.3">
      <c r="A2" s="11" t="s">
        <v>9</v>
      </c>
      <c r="B2" s="2">
        <v>45661</v>
      </c>
      <c r="C2" s="1" t="s">
        <v>10</v>
      </c>
      <c r="D2" s="1" t="s">
        <v>11</v>
      </c>
      <c r="E2" s="1" t="s">
        <v>12</v>
      </c>
      <c r="F2" s="1">
        <v>53</v>
      </c>
      <c r="G2" s="3">
        <v>48.27</v>
      </c>
      <c r="H2" s="3">
        <f t="shared" ref="H2:H33" si="0">F2*G2</f>
        <v>2558.31</v>
      </c>
      <c r="I2" s="12" t="s">
        <v>13</v>
      </c>
      <c r="J2" s="13" t="str">
        <f>TEXT(Table2[[#This Row],[Date]],"mmm")</f>
        <v>Jan</v>
      </c>
      <c r="K2" s="23">
        <f>MONTH(Table2[[#This Row],[Date]])</f>
        <v>1</v>
      </c>
    </row>
    <row r="3" spans="1:11" x14ac:dyDescent="0.3">
      <c r="A3" s="11" t="s">
        <v>14</v>
      </c>
      <c r="B3" s="2">
        <v>45663</v>
      </c>
      <c r="C3" s="1" t="s">
        <v>15</v>
      </c>
      <c r="D3" s="1" t="s">
        <v>16</v>
      </c>
      <c r="E3" s="1" t="s">
        <v>12</v>
      </c>
      <c r="F3" s="1">
        <v>97</v>
      </c>
      <c r="G3" s="3">
        <v>20.29</v>
      </c>
      <c r="H3" s="3">
        <f t="shared" si="0"/>
        <v>1968.1299999999999</v>
      </c>
      <c r="I3" s="12" t="s">
        <v>17</v>
      </c>
      <c r="J3" s="12" t="str">
        <f>TEXT(Table2[[#This Row],[Date]],"mmm")</f>
        <v>Jan</v>
      </c>
      <c r="K3" s="22">
        <f>MONTH(Table2[[#This Row],[Date]])</f>
        <v>1</v>
      </c>
    </row>
    <row r="4" spans="1:11" x14ac:dyDescent="0.3">
      <c r="A4" s="11" t="s">
        <v>18</v>
      </c>
      <c r="B4" s="2">
        <v>45673</v>
      </c>
      <c r="C4" s="1" t="s">
        <v>19</v>
      </c>
      <c r="D4" s="1" t="s">
        <v>20</v>
      </c>
      <c r="E4" s="1" t="s">
        <v>21</v>
      </c>
      <c r="F4" s="1">
        <v>74</v>
      </c>
      <c r="G4" s="3">
        <v>14.99</v>
      </c>
      <c r="H4" s="3">
        <f t="shared" si="0"/>
        <v>1109.26</v>
      </c>
      <c r="I4" s="12" t="s">
        <v>22</v>
      </c>
      <c r="J4" s="12" t="str">
        <f>TEXT(Table2[[#This Row],[Date]],"mmm")</f>
        <v>Jan</v>
      </c>
      <c r="K4" s="22">
        <f>MONTH(Table2[[#This Row],[Date]])</f>
        <v>1</v>
      </c>
    </row>
    <row r="5" spans="1:11" x14ac:dyDescent="0.3">
      <c r="A5" s="11" t="s">
        <v>23</v>
      </c>
      <c r="B5" s="2">
        <v>45673</v>
      </c>
      <c r="C5" s="1" t="s">
        <v>10</v>
      </c>
      <c r="D5" s="1" t="s">
        <v>11</v>
      </c>
      <c r="E5" s="1" t="s">
        <v>21</v>
      </c>
      <c r="F5" s="1">
        <v>12</v>
      </c>
      <c r="G5" s="3">
        <v>51.56</v>
      </c>
      <c r="H5" s="3">
        <f t="shared" si="0"/>
        <v>618.72</v>
      </c>
      <c r="I5" s="12" t="s">
        <v>13</v>
      </c>
      <c r="J5" s="12" t="str">
        <f>TEXT(Table2[[#This Row],[Date]],"mmm")</f>
        <v>Jan</v>
      </c>
      <c r="K5" s="22">
        <f>MONTH(Table2[[#This Row],[Date]])</f>
        <v>1</v>
      </c>
    </row>
    <row r="6" spans="1:11" x14ac:dyDescent="0.3">
      <c r="A6" s="11" t="s">
        <v>24</v>
      </c>
      <c r="B6" s="2">
        <v>45678</v>
      </c>
      <c r="C6" s="1" t="s">
        <v>25</v>
      </c>
      <c r="D6" s="1" t="s">
        <v>26</v>
      </c>
      <c r="E6" s="1" t="s">
        <v>21</v>
      </c>
      <c r="F6" s="1">
        <v>41</v>
      </c>
      <c r="G6" s="3">
        <v>70.42</v>
      </c>
      <c r="H6" s="3">
        <f t="shared" si="0"/>
        <v>2887.2200000000003</v>
      </c>
      <c r="I6" s="12" t="s">
        <v>13</v>
      </c>
      <c r="J6" s="12" t="str">
        <f>TEXT(Table2[[#This Row],[Date]],"mmm")</f>
        <v>Jan</v>
      </c>
      <c r="K6" s="22">
        <f>MONTH(Table2[[#This Row],[Date]])</f>
        <v>1</v>
      </c>
    </row>
    <row r="7" spans="1:11" x14ac:dyDescent="0.3">
      <c r="A7" s="11" t="s">
        <v>27</v>
      </c>
      <c r="B7" s="2">
        <v>45678</v>
      </c>
      <c r="C7" s="1" t="s">
        <v>10</v>
      </c>
      <c r="D7" s="1" t="s">
        <v>11</v>
      </c>
      <c r="E7" s="1" t="s">
        <v>28</v>
      </c>
      <c r="F7" s="1">
        <v>93</v>
      </c>
      <c r="G7" s="3">
        <v>49.85</v>
      </c>
      <c r="H7" s="3">
        <f t="shared" si="0"/>
        <v>4636.05</v>
      </c>
      <c r="I7" s="12" t="s">
        <v>13</v>
      </c>
      <c r="J7" s="12" t="str">
        <f>TEXT(Table2[[#This Row],[Date]],"mmm")</f>
        <v>Jan</v>
      </c>
      <c r="K7" s="22">
        <f>MONTH(Table2[[#This Row],[Date]])</f>
        <v>1</v>
      </c>
    </row>
    <row r="8" spans="1:11" x14ac:dyDescent="0.3">
      <c r="A8" s="11" t="s">
        <v>29</v>
      </c>
      <c r="B8" s="2">
        <v>45681</v>
      </c>
      <c r="C8" s="1" t="s">
        <v>10</v>
      </c>
      <c r="D8" s="1" t="s">
        <v>11</v>
      </c>
      <c r="E8" s="1" t="s">
        <v>30</v>
      </c>
      <c r="F8" s="1">
        <v>88</v>
      </c>
      <c r="G8" s="3">
        <v>53.76</v>
      </c>
      <c r="H8" s="3">
        <f t="shared" si="0"/>
        <v>4730.88</v>
      </c>
      <c r="I8" s="12" t="s">
        <v>13</v>
      </c>
      <c r="J8" s="12" t="str">
        <f>TEXT(Table2[[#This Row],[Date]],"mmm")</f>
        <v>Jan</v>
      </c>
      <c r="K8" s="22">
        <f>MONTH(Table2[[#This Row],[Date]])</f>
        <v>1</v>
      </c>
    </row>
    <row r="9" spans="1:11" x14ac:dyDescent="0.3">
      <c r="A9" s="11" t="s">
        <v>31</v>
      </c>
      <c r="B9" s="2">
        <v>45682</v>
      </c>
      <c r="C9" s="1" t="s">
        <v>19</v>
      </c>
      <c r="D9" s="1" t="s">
        <v>20</v>
      </c>
      <c r="E9" s="1" t="s">
        <v>21</v>
      </c>
      <c r="F9" s="1">
        <v>30</v>
      </c>
      <c r="G9" s="3">
        <v>15.52</v>
      </c>
      <c r="H9" s="3">
        <f t="shared" si="0"/>
        <v>465.59999999999997</v>
      </c>
      <c r="I9" s="12" t="s">
        <v>13</v>
      </c>
      <c r="J9" s="12" t="str">
        <f>TEXT(Table2[[#This Row],[Date]],"mmm")</f>
        <v>Jan</v>
      </c>
      <c r="K9" s="22">
        <f>MONTH(Table2[[#This Row],[Date]])</f>
        <v>1</v>
      </c>
    </row>
    <row r="10" spans="1:11" x14ac:dyDescent="0.3">
      <c r="A10" s="11" t="s">
        <v>32</v>
      </c>
      <c r="B10" s="2">
        <v>45683</v>
      </c>
      <c r="C10" s="1" t="s">
        <v>33</v>
      </c>
      <c r="D10" s="1" t="s">
        <v>34</v>
      </c>
      <c r="E10" s="1" t="s">
        <v>21</v>
      </c>
      <c r="F10" s="1">
        <v>118</v>
      </c>
      <c r="G10" s="3">
        <v>27.28</v>
      </c>
      <c r="H10" s="3">
        <f t="shared" si="0"/>
        <v>3219.04</v>
      </c>
      <c r="I10" s="12" t="s">
        <v>13</v>
      </c>
      <c r="J10" s="12" t="str">
        <f>TEXT(Table2[[#This Row],[Date]],"mmm")</f>
        <v>Jan</v>
      </c>
      <c r="K10" s="22">
        <f>MONTH(Table2[[#This Row],[Date]])</f>
        <v>1</v>
      </c>
    </row>
    <row r="11" spans="1:11" x14ac:dyDescent="0.3">
      <c r="A11" s="11" t="s">
        <v>35</v>
      </c>
      <c r="B11" s="2">
        <v>45684</v>
      </c>
      <c r="C11" s="1" t="s">
        <v>25</v>
      </c>
      <c r="D11" s="1" t="s">
        <v>26</v>
      </c>
      <c r="E11" s="1" t="s">
        <v>21</v>
      </c>
      <c r="F11" s="1">
        <v>18</v>
      </c>
      <c r="G11" s="3">
        <v>71.91</v>
      </c>
      <c r="H11" s="3">
        <f t="shared" si="0"/>
        <v>1294.3799999999999</v>
      </c>
      <c r="I11" s="12" t="s">
        <v>22</v>
      </c>
      <c r="J11" s="12" t="str">
        <f>TEXT(Table2[[#This Row],[Date]],"mmm")</f>
        <v>Jan</v>
      </c>
      <c r="K11" s="22">
        <f>MONTH(Table2[[#This Row],[Date]])</f>
        <v>1</v>
      </c>
    </row>
    <row r="12" spans="1:11" x14ac:dyDescent="0.3">
      <c r="A12" s="11" t="s">
        <v>36</v>
      </c>
      <c r="B12" s="2">
        <v>45684</v>
      </c>
      <c r="C12" s="1" t="s">
        <v>25</v>
      </c>
      <c r="D12" s="1" t="s">
        <v>26</v>
      </c>
      <c r="E12" s="1" t="s">
        <v>30</v>
      </c>
      <c r="F12" s="1">
        <v>71</v>
      </c>
      <c r="G12" s="3">
        <v>63.23</v>
      </c>
      <c r="H12" s="3">
        <f t="shared" si="0"/>
        <v>4489.33</v>
      </c>
      <c r="I12" s="12" t="s">
        <v>13</v>
      </c>
      <c r="J12" s="12" t="str">
        <f>TEXT(Table2[[#This Row],[Date]],"mmm")</f>
        <v>Jan</v>
      </c>
      <c r="K12" s="22">
        <f>MONTH(Table2[[#This Row],[Date]])</f>
        <v>1</v>
      </c>
    </row>
    <row r="13" spans="1:11" x14ac:dyDescent="0.3">
      <c r="A13" s="11" t="s">
        <v>37</v>
      </c>
      <c r="B13" s="2">
        <v>45685</v>
      </c>
      <c r="C13" s="1" t="s">
        <v>33</v>
      </c>
      <c r="D13" s="1" t="s">
        <v>34</v>
      </c>
      <c r="E13" s="1" t="s">
        <v>28</v>
      </c>
      <c r="F13" s="1">
        <v>26</v>
      </c>
      <c r="G13" s="3">
        <v>30.17</v>
      </c>
      <c r="H13" s="3">
        <f t="shared" si="0"/>
        <v>784.42000000000007</v>
      </c>
      <c r="I13" s="12" t="s">
        <v>17</v>
      </c>
      <c r="J13" s="12" t="str">
        <f>TEXT(Table2[[#This Row],[Date]],"mmm")</f>
        <v>Jan</v>
      </c>
      <c r="K13" s="22">
        <f>MONTH(Table2[[#This Row],[Date]])</f>
        <v>1</v>
      </c>
    </row>
    <row r="14" spans="1:11" x14ac:dyDescent="0.3">
      <c r="A14" s="11" t="s">
        <v>38</v>
      </c>
      <c r="B14" s="2">
        <v>45688</v>
      </c>
      <c r="C14" s="1" t="s">
        <v>10</v>
      </c>
      <c r="D14" s="1" t="s">
        <v>11</v>
      </c>
      <c r="E14" s="1" t="s">
        <v>28</v>
      </c>
      <c r="F14" s="1">
        <v>59</v>
      </c>
      <c r="G14" s="3">
        <v>48.15</v>
      </c>
      <c r="H14" s="3">
        <f t="shared" si="0"/>
        <v>2840.85</v>
      </c>
      <c r="I14" s="12" t="s">
        <v>17</v>
      </c>
      <c r="J14" s="12" t="str">
        <f>TEXT(Table2[[#This Row],[Date]],"mmm")</f>
        <v>Jan</v>
      </c>
      <c r="K14" s="22">
        <f>MONTH(Table2[[#This Row],[Date]])</f>
        <v>1</v>
      </c>
    </row>
    <row r="15" spans="1:11" x14ac:dyDescent="0.3">
      <c r="A15" s="11" t="s">
        <v>39</v>
      </c>
      <c r="B15" s="2">
        <v>45690</v>
      </c>
      <c r="C15" s="1" t="s">
        <v>40</v>
      </c>
      <c r="D15" s="1" t="s">
        <v>41</v>
      </c>
      <c r="E15" s="1" t="s">
        <v>28</v>
      </c>
      <c r="F15" s="1">
        <v>69</v>
      </c>
      <c r="G15" s="3">
        <v>33.79</v>
      </c>
      <c r="H15" s="3">
        <f t="shared" si="0"/>
        <v>2331.5099999999998</v>
      </c>
      <c r="I15" s="12" t="s">
        <v>42</v>
      </c>
      <c r="J15" s="12" t="str">
        <f>TEXT(Table2[[#This Row],[Date]],"mmm")</f>
        <v>Feb</v>
      </c>
      <c r="K15" s="22">
        <f>MONTH(Table2[[#This Row],[Date]])</f>
        <v>2</v>
      </c>
    </row>
    <row r="16" spans="1:11" x14ac:dyDescent="0.3">
      <c r="A16" s="11" t="s">
        <v>43</v>
      </c>
      <c r="B16" s="2">
        <v>45691</v>
      </c>
      <c r="C16" s="1" t="s">
        <v>10</v>
      </c>
      <c r="D16" s="1" t="s">
        <v>11</v>
      </c>
      <c r="E16" s="1" t="s">
        <v>30</v>
      </c>
      <c r="F16" s="1">
        <v>82</v>
      </c>
      <c r="G16" s="3">
        <v>54.01</v>
      </c>
      <c r="H16" s="3">
        <f t="shared" si="0"/>
        <v>4428.82</v>
      </c>
      <c r="I16" s="12" t="s">
        <v>13</v>
      </c>
      <c r="J16" s="12" t="str">
        <f>TEXT(Table2[[#This Row],[Date]],"mmm")</f>
        <v>Feb</v>
      </c>
      <c r="K16" s="22">
        <f>MONTH(Table2[[#This Row],[Date]])</f>
        <v>2</v>
      </c>
    </row>
    <row r="17" spans="1:11" x14ac:dyDescent="0.3">
      <c r="A17" s="11" t="s">
        <v>44</v>
      </c>
      <c r="B17" s="2">
        <v>45692</v>
      </c>
      <c r="C17" s="1" t="s">
        <v>19</v>
      </c>
      <c r="D17" s="1" t="s">
        <v>20</v>
      </c>
      <c r="E17" s="1" t="s">
        <v>45</v>
      </c>
      <c r="F17" s="1">
        <v>19</v>
      </c>
      <c r="G17" s="3">
        <v>14.74</v>
      </c>
      <c r="H17" s="3">
        <f t="shared" si="0"/>
        <v>280.06</v>
      </c>
      <c r="I17" s="12" t="s">
        <v>13</v>
      </c>
      <c r="J17" s="12" t="str">
        <f>TEXT(Table2[[#This Row],[Date]],"mmm")</f>
        <v>Feb</v>
      </c>
      <c r="K17" s="22">
        <f>MONTH(Table2[[#This Row],[Date]])</f>
        <v>2</v>
      </c>
    </row>
    <row r="18" spans="1:11" x14ac:dyDescent="0.3">
      <c r="A18" s="11" t="s">
        <v>46</v>
      </c>
      <c r="B18" s="2">
        <v>45693</v>
      </c>
      <c r="C18" s="1" t="s">
        <v>15</v>
      </c>
      <c r="D18" s="1" t="s">
        <v>16</v>
      </c>
      <c r="E18" s="1" t="s">
        <v>30</v>
      </c>
      <c r="F18" s="1">
        <v>89</v>
      </c>
      <c r="G18" s="3">
        <v>18.23</v>
      </c>
      <c r="H18" s="3">
        <f t="shared" si="0"/>
        <v>1622.47</v>
      </c>
      <c r="I18" s="12" t="s">
        <v>17</v>
      </c>
      <c r="J18" s="12" t="str">
        <f>TEXT(Table2[[#This Row],[Date]],"mmm")</f>
        <v>Feb</v>
      </c>
      <c r="K18" s="22">
        <f>MONTH(Table2[[#This Row],[Date]])</f>
        <v>2</v>
      </c>
    </row>
    <row r="19" spans="1:11" x14ac:dyDescent="0.3">
      <c r="A19" s="11" t="s">
        <v>47</v>
      </c>
      <c r="B19" s="2">
        <v>45693</v>
      </c>
      <c r="C19" s="1" t="s">
        <v>33</v>
      </c>
      <c r="D19" s="1" t="s">
        <v>34</v>
      </c>
      <c r="E19" s="1" t="s">
        <v>48</v>
      </c>
      <c r="F19" s="1">
        <v>11</v>
      </c>
      <c r="G19" s="3">
        <v>31.36</v>
      </c>
      <c r="H19" s="3">
        <f t="shared" si="0"/>
        <v>344.96</v>
      </c>
      <c r="I19" s="12" t="s">
        <v>17</v>
      </c>
      <c r="J19" s="12" t="str">
        <f>TEXT(Table2[[#This Row],[Date]],"mmm")</f>
        <v>Feb</v>
      </c>
      <c r="K19" s="22">
        <f>MONTH(Table2[[#This Row],[Date]])</f>
        <v>2</v>
      </c>
    </row>
    <row r="20" spans="1:11" x14ac:dyDescent="0.3">
      <c r="A20" s="11" t="s">
        <v>49</v>
      </c>
      <c r="B20" s="2">
        <v>45695</v>
      </c>
      <c r="C20" s="1" t="s">
        <v>19</v>
      </c>
      <c r="D20" s="1" t="s">
        <v>20</v>
      </c>
      <c r="E20" s="1" t="s">
        <v>28</v>
      </c>
      <c r="F20" s="1">
        <v>82</v>
      </c>
      <c r="G20" s="3">
        <v>16.09</v>
      </c>
      <c r="H20" s="3">
        <f t="shared" si="0"/>
        <v>1319.3799999999999</v>
      </c>
      <c r="I20" s="12" t="s">
        <v>13</v>
      </c>
      <c r="J20" s="12" t="str">
        <f>TEXT(Table2[[#This Row],[Date]],"mmm")</f>
        <v>Feb</v>
      </c>
      <c r="K20" s="22">
        <f>MONTH(Table2[[#This Row],[Date]])</f>
        <v>2</v>
      </c>
    </row>
    <row r="21" spans="1:11" x14ac:dyDescent="0.3">
      <c r="A21" s="11" t="s">
        <v>50</v>
      </c>
      <c r="B21" s="2">
        <v>45696</v>
      </c>
      <c r="C21" s="1" t="s">
        <v>15</v>
      </c>
      <c r="D21" s="1" t="s">
        <v>16</v>
      </c>
      <c r="E21" s="1" t="s">
        <v>45</v>
      </c>
      <c r="F21" s="1">
        <v>79</v>
      </c>
      <c r="G21" s="3">
        <v>17.23</v>
      </c>
      <c r="H21" s="3">
        <f t="shared" si="0"/>
        <v>1361.17</v>
      </c>
      <c r="I21" s="12" t="s">
        <v>13</v>
      </c>
      <c r="J21" s="12" t="str">
        <f>TEXT(Table2[[#This Row],[Date]],"mmm")</f>
        <v>Feb</v>
      </c>
      <c r="K21" s="22">
        <f>MONTH(Table2[[#This Row],[Date]])</f>
        <v>2</v>
      </c>
    </row>
    <row r="22" spans="1:11" x14ac:dyDescent="0.3">
      <c r="A22" s="11" t="s">
        <v>51</v>
      </c>
      <c r="B22" s="2">
        <v>45698</v>
      </c>
      <c r="C22" s="1" t="s">
        <v>33</v>
      </c>
      <c r="D22" s="1" t="s">
        <v>34</v>
      </c>
      <c r="E22" s="1" t="s">
        <v>28</v>
      </c>
      <c r="F22" s="1">
        <v>90</v>
      </c>
      <c r="G22" s="3">
        <v>30.06</v>
      </c>
      <c r="H22" s="3">
        <f t="shared" si="0"/>
        <v>2705.4</v>
      </c>
      <c r="I22" s="12" t="s">
        <v>17</v>
      </c>
      <c r="J22" s="12" t="str">
        <f>TEXT(Table2[[#This Row],[Date]],"mmm")</f>
        <v>Feb</v>
      </c>
      <c r="K22" s="22">
        <f>MONTH(Table2[[#This Row],[Date]])</f>
        <v>2</v>
      </c>
    </row>
    <row r="23" spans="1:11" x14ac:dyDescent="0.3">
      <c r="A23" s="11" t="s">
        <v>52</v>
      </c>
      <c r="B23" s="2">
        <v>45698</v>
      </c>
      <c r="C23" s="1" t="s">
        <v>10</v>
      </c>
      <c r="D23" s="1" t="s">
        <v>11</v>
      </c>
      <c r="E23" s="1" t="s">
        <v>45</v>
      </c>
      <c r="F23" s="1">
        <v>58</v>
      </c>
      <c r="G23" s="3">
        <v>48.27</v>
      </c>
      <c r="H23" s="3">
        <f t="shared" si="0"/>
        <v>2799.6600000000003</v>
      </c>
      <c r="I23" s="12" t="s">
        <v>22</v>
      </c>
      <c r="J23" s="12" t="str">
        <f>TEXT(Table2[[#This Row],[Date]],"mmm")</f>
        <v>Feb</v>
      </c>
      <c r="K23" s="22">
        <f>MONTH(Table2[[#This Row],[Date]])</f>
        <v>2</v>
      </c>
    </row>
    <row r="24" spans="1:11" x14ac:dyDescent="0.3">
      <c r="A24" s="11" t="s">
        <v>53</v>
      </c>
      <c r="B24" s="2">
        <v>45700</v>
      </c>
      <c r="C24" s="1" t="s">
        <v>15</v>
      </c>
      <c r="D24" s="1" t="s">
        <v>16</v>
      </c>
      <c r="E24" s="1" t="s">
        <v>28</v>
      </c>
      <c r="F24" s="1">
        <v>120</v>
      </c>
      <c r="G24" s="3">
        <v>18.760000000000002</v>
      </c>
      <c r="H24" s="3">
        <f t="shared" si="0"/>
        <v>2251.2000000000003</v>
      </c>
      <c r="I24" s="12" t="s">
        <v>13</v>
      </c>
      <c r="J24" s="12" t="str">
        <f>TEXT(Table2[[#This Row],[Date]],"mmm")</f>
        <v>Feb</v>
      </c>
      <c r="K24" s="22">
        <f>MONTH(Table2[[#This Row],[Date]])</f>
        <v>2</v>
      </c>
    </row>
    <row r="25" spans="1:11" x14ac:dyDescent="0.3">
      <c r="A25" s="11" t="s">
        <v>54</v>
      </c>
      <c r="B25" s="2">
        <v>45701</v>
      </c>
      <c r="C25" s="1" t="s">
        <v>15</v>
      </c>
      <c r="D25" s="1" t="s">
        <v>16</v>
      </c>
      <c r="E25" s="1" t="s">
        <v>28</v>
      </c>
      <c r="F25" s="1">
        <v>18</v>
      </c>
      <c r="G25" s="3">
        <v>20.62</v>
      </c>
      <c r="H25" s="3">
        <f t="shared" si="0"/>
        <v>371.16</v>
      </c>
      <c r="I25" s="12" t="s">
        <v>13</v>
      </c>
      <c r="J25" s="12" t="str">
        <f>TEXT(Table2[[#This Row],[Date]],"mmm")</f>
        <v>Feb</v>
      </c>
      <c r="K25" s="22">
        <f>MONTH(Table2[[#This Row],[Date]])</f>
        <v>2</v>
      </c>
    </row>
    <row r="26" spans="1:11" x14ac:dyDescent="0.3">
      <c r="A26" s="11" t="s">
        <v>55</v>
      </c>
      <c r="B26" s="2">
        <v>45705</v>
      </c>
      <c r="C26" s="1" t="s">
        <v>10</v>
      </c>
      <c r="D26" s="1" t="s">
        <v>11</v>
      </c>
      <c r="E26" s="1" t="s">
        <v>12</v>
      </c>
      <c r="F26" s="1">
        <v>38</v>
      </c>
      <c r="G26" s="3">
        <v>53.34</v>
      </c>
      <c r="H26" s="3">
        <f t="shared" si="0"/>
        <v>2026.92</v>
      </c>
      <c r="I26" s="12" t="s">
        <v>13</v>
      </c>
      <c r="J26" s="12" t="str">
        <f>TEXT(Table2[[#This Row],[Date]],"mmm")</f>
        <v>Feb</v>
      </c>
      <c r="K26" s="22">
        <f>MONTH(Table2[[#This Row],[Date]])</f>
        <v>2</v>
      </c>
    </row>
    <row r="27" spans="1:11" x14ac:dyDescent="0.3">
      <c r="A27" s="11" t="s">
        <v>56</v>
      </c>
      <c r="B27" s="2">
        <v>45710</v>
      </c>
      <c r="C27" s="1" t="s">
        <v>15</v>
      </c>
      <c r="D27" s="1" t="s">
        <v>16</v>
      </c>
      <c r="E27" s="1" t="s">
        <v>12</v>
      </c>
      <c r="F27" s="1">
        <v>79</v>
      </c>
      <c r="G27" s="3">
        <v>17.41</v>
      </c>
      <c r="H27" s="3">
        <f t="shared" si="0"/>
        <v>1375.39</v>
      </c>
      <c r="I27" s="12" t="s">
        <v>13</v>
      </c>
      <c r="J27" s="12" t="str">
        <f>TEXT(Table2[[#This Row],[Date]],"mmm")</f>
        <v>Feb</v>
      </c>
      <c r="K27" s="22">
        <f>MONTH(Table2[[#This Row],[Date]])</f>
        <v>2</v>
      </c>
    </row>
    <row r="28" spans="1:11" x14ac:dyDescent="0.3">
      <c r="A28" s="11" t="s">
        <v>57</v>
      </c>
      <c r="B28" s="2">
        <v>45710</v>
      </c>
      <c r="C28" s="1" t="s">
        <v>19</v>
      </c>
      <c r="D28" s="1" t="s">
        <v>20</v>
      </c>
      <c r="E28" s="1" t="s">
        <v>48</v>
      </c>
      <c r="F28" s="1">
        <v>70</v>
      </c>
      <c r="G28" s="3">
        <v>14.64</v>
      </c>
      <c r="H28" s="3">
        <f t="shared" si="0"/>
        <v>1024.8</v>
      </c>
      <c r="I28" s="12" t="s">
        <v>13</v>
      </c>
      <c r="J28" s="12" t="str">
        <f>TEXT(Table2[[#This Row],[Date]],"mmm")</f>
        <v>Feb</v>
      </c>
      <c r="K28" s="22">
        <f>MONTH(Table2[[#This Row],[Date]])</f>
        <v>2</v>
      </c>
    </row>
    <row r="29" spans="1:11" x14ac:dyDescent="0.3">
      <c r="A29" s="11" t="s">
        <v>58</v>
      </c>
      <c r="B29" s="2">
        <v>45711</v>
      </c>
      <c r="C29" s="1" t="s">
        <v>10</v>
      </c>
      <c r="D29" s="1" t="s">
        <v>11</v>
      </c>
      <c r="E29" s="1" t="s">
        <v>21</v>
      </c>
      <c r="F29" s="1">
        <v>23</v>
      </c>
      <c r="G29" s="3">
        <v>52.73</v>
      </c>
      <c r="H29" s="3">
        <f t="shared" si="0"/>
        <v>1212.79</v>
      </c>
      <c r="I29" s="12" t="s">
        <v>13</v>
      </c>
      <c r="J29" s="12" t="str">
        <f>TEXT(Table2[[#This Row],[Date]],"mmm")</f>
        <v>Feb</v>
      </c>
      <c r="K29" s="22">
        <f>MONTH(Table2[[#This Row],[Date]])</f>
        <v>2</v>
      </c>
    </row>
    <row r="30" spans="1:11" x14ac:dyDescent="0.3">
      <c r="A30" s="11" t="s">
        <v>59</v>
      </c>
      <c r="B30" s="2">
        <v>45712</v>
      </c>
      <c r="C30" s="1" t="s">
        <v>40</v>
      </c>
      <c r="D30" s="1" t="s">
        <v>41</v>
      </c>
      <c r="E30" s="1" t="s">
        <v>21</v>
      </c>
      <c r="F30" s="1">
        <v>112</v>
      </c>
      <c r="G30" s="3">
        <v>36.53</v>
      </c>
      <c r="H30" s="3">
        <f t="shared" si="0"/>
        <v>4091.36</v>
      </c>
      <c r="I30" s="12" t="s">
        <v>13</v>
      </c>
      <c r="J30" s="12" t="str">
        <f>TEXT(Table2[[#This Row],[Date]],"mmm")</f>
        <v>Feb</v>
      </c>
      <c r="K30" s="22">
        <f>MONTH(Table2[[#This Row],[Date]])</f>
        <v>2</v>
      </c>
    </row>
    <row r="31" spans="1:11" x14ac:dyDescent="0.3">
      <c r="A31" s="11" t="s">
        <v>60</v>
      </c>
      <c r="B31" s="2">
        <v>45712</v>
      </c>
      <c r="C31" s="1" t="s">
        <v>40</v>
      </c>
      <c r="D31" s="1" t="s">
        <v>41</v>
      </c>
      <c r="E31" s="1" t="s">
        <v>30</v>
      </c>
      <c r="F31" s="1">
        <v>91</v>
      </c>
      <c r="G31" s="3">
        <v>36.11</v>
      </c>
      <c r="H31" s="3">
        <f t="shared" si="0"/>
        <v>3286.0099999999998</v>
      </c>
      <c r="I31" s="12" t="s">
        <v>13</v>
      </c>
      <c r="J31" s="12" t="str">
        <f>TEXT(Table2[[#This Row],[Date]],"mmm")</f>
        <v>Feb</v>
      </c>
      <c r="K31" s="22">
        <f>MONTH(Table2[[#This Row],[Date]])</f>
        <v>2</v>
      </c>
    </row>
    <row r="32" spans="1:11" x14ac:dyDescent="0.3">
      <c r="A32" s="11" t="s">
        <v>61</v>
      </c>
      <c r="B32" s="2">
        <v>45713</v>
      </c>
      <c r="C32" s="1" t="s">
        <v>10</v>
      </c>
      <c r="D32" s="1" t="s">
        <v>11</v>
      </c>
      <c r="E32" s="1" t="s">
        <v>21</v>
      </c>
      <c r="F32" s="1">
        <v>78</v>
      </c>
      <c r="G32" s="3">
        <v>49.91</v>
      </c>
      <c r="H32" s="3">
        <f t="shared" si="0"/>
        <v>3892.9799999999996</v>
      </c>
      <c r="I32" s="12" t="s">
        <v>13</v>
      </c>
      <c r="J32" s="12" t="str">
        <f>TEXT(Table2[[#This Row],[Date]],"mmm")</f>
        <v>Feb</v>
      </c>
      <c r="K32" s="22">
        <f>MONTH(Table2[[#This Row],[Date]])</f>
        <v>2</v>
      </c>
    </row>
    <row r="33" spans="1:11" x14ac:dyDescent="0.3">
      <c r="A33" s="11" t="s">
        <v>62</v>
      </c>
      <c r="B33" s="2">
        <v>45716</v>
      </c>
      <c r="C33" s="1" t="s">
        <v>40</v>
      </c>
      <c r="D33" s="1" t="s">
        <v>41</v>
      </c>
      <c r="E33" s="1" t="s">
        <v>30</v>
      </c>
      <c r="F33" s="1">
        <v>92</v>
      </c>
      <c r="G33" s="3">
        <v>35.729999999999997</v>
      </c>
      <c r="H33" s="3">
        <f t="shared" si="0"/>
        <v>3287.16</v>
      </c>
      <c r="I33" s="12" t="s">
        <v>13</v>
      </c>
      <c r="J33" s="12" t="str">
        <f>TEXT(Table2[[#This Row],[Date]],"mmm")</f>
        <v>Feb</v>
      </c>
      <c r="K33" s="22">
        <f>MONTH(Table2[[#This Row],[Date]])</f>
        <v>2</v>
      </c>
    </row>
    <row r="34" spans="1:11" x14ac:dyDescent="0.3">
      <c r="A34" s="11" t="s">
        <v>63</v>
      </c>
      <c r="B34" s="2">
        <v>45719</v>
      </c>
      <c r="C34" s="1" t="s">
        <v>33</v>
      </c>
      <c r="D34" s="1" t="s">
        <v>34</v>
      </c>
      <c r="E34" s="1" t="s">
        <v>12</v>
      </c>
      <c r="F34" s="1">
        <v>54</v>
      </c>
      <c r="G34" s="3">
        <v>29.58</v>
      </c>
      <c r="H34" s="3">
        <f t="shared" ref="H34:H65" si="1">F34*G34</f>
        <v>1597.32</v>
      </c>
      <c r="I34" s="12" t="s">
        <v>22</v>
      </c>
      <c r="J34" s="12" t="str">
        <f>TEXT(Table2[[#This Row],[Date]],"mmm")</f>
        <v>Mar</v>
      </c>
      <c r="K34" s="22">
        <f>MONTH(Table2[[#This Row],[Date]])</f>
        <v>3</v>
      </c>
    </row>
    <row r="35" spans="1:11" x14ac:dyDescent="0.3">
      <c r="A35" s="11" t="s">
        <v>64</v>
      </c>
      <c r="B35" s="2">
        <v>45720</v>
      </c>
      <c r="C35" s="1" t="s">
        <v>19</v>
      </c>
      <c r="D35" s="1" t="s">
        <v>20</v>
      </c>
      <c r="E35" s="1" t="s">
        <v>30</v>
      </c>
      <c r="F35" s="1">
        <v>87</v>
      </c>
      <c r="G35" s="3">
        <v>15.54</v>
      </c>
      <c r="H35" s="3">
        <f t="shared" si="1"/>
        <v>1351.98</v>
      </c>
      <c r="I35" s="12" t="s">
        <v>22</v>
      </c>
      <c r="J35" s="12" t="str">
        <f>TEXT(Table2[[#This Row],[Date]],"mmm")</f>
        <v>Mar</v>
      </c>
      <c r="K35" s="22">
        <f>MONTH(Table2[[#This Row],[Date]])</f>
        <v>3</v>
      </c>
    </row>
    <row r="36" spans="1:11" x14ac:dyDescent="0.3">
      <c r="A36" s="11" t="s">
        <v>65</v>
      </c>
      <c r="B36" s="2">
        <v>45721</v>
      </c>
      <c r="C36" s="1" t="s">
        <v>40</v>
      </c>
      <c r="D36" s="1" t="s">
        <v>41</v>
      </c>
      <c r="E36" s="1" t="s">
        <v>12</v>
      </c>
      <c r="F36" s="1">
        <v>99</v>
      </c>
      <c r="G36" s="3">
        <v>32.979999999999997</v>
      </c>
      <c r="H36" s="3">
        <f t="shared" si="1"/>
        <v>3265.0199999999995</v>
      </c>
      <c r="I36" s="12" t="s">
        <v>13</v>
      </c>
      <c r="J36" s="12" t="str">
        <f>TEXT(Table2[[#This Row],[Date]],"mmm")</f>
        <v>Mar</v>
      </c>
      <c r="K36" s="22">
        <f>MONTH(Table2[[#This Row],[Date]])</f>
        <v>3</v>
      </c>
    </row>
    <row r="37" spans="1:11" x14ac:dyDescent="0.3">
      <c r="A37" s="11" t="s">
        <v>66</v>
      </c>
      <c r="B37" s="2">
        <v>45722</v>
      </c>
      <c r="C37" s="1" t="s">
        <v>10</v>
      </c>
      <c r="D37" s="1" t="s">
        <v>11</v>
      </c>
      <c r="E37" s="1" t="s">
        <v>48</v>
      </c>
      <c r="F37" s="1">
        <v>80</v>
      </c>
      <c r="G37" s="3">
        <v>47.19</v>
      </c>
      <c r="H37" s="3">
        <f t="shared" si="1"/>
        <v>3775.2</v>
      </c>
      <c r="I37" s="12" t="s">
        <v>13</v>
      </c>
      <c r="J37" s="12" t="str">
        <f>TEXT(Table2[[#This Row],[Date]],"mmm")</f>
        <v>Mar</v>
      </c>
      <c r="K37" s="22">
        <f>MONTH(Table2[[#This Row],[Date]])</f>
        <v>3</v>
      </c>
    </row>
    <row r="38" spans="1:11" x14ac:dyDescent="0.3">
      <c r="A38" s="11" t="s">
        <v>67</v>
      </c>
      <c r="B38" s="2">
        <v>45727</v>
      </c>
      <c r="C38" s="1" t="s">
        <v>19</v>
      </c>
      <c r="D38" s="1" t="s">
        <v>20</v>
      </c>
      <c r="E38" s="1" t="s">
        <v>21</v>
      </c>
      <c r="F38" s="1">
        <v>111</v>
      </c>
      <c r="G38" s="3">
        <v>15.69</v>
      </c>
      <c r="H38" s="3">
        <f t="shared" si="1"/>
        <v>1741.59</v>
      </c>
      <c r="I38" s="12" t="s">
        <v>13</v>
      </c>
      <c r="J38" s="12" t="str">
        <f>TEXT(Table2[[#This Row],[Date]],"mmm")</f>
        <v>Mar</v>
      </c>
      <c r="K38" s="22">
        <f>MONTH(Table2[[#This Row],[Date]])</f>
        <v>3</v>
      </c>
    </row>
    <row r="39" spans="1:11" x14ac:dyDescent="0.3">
      <c r="A39" s="11" t="s">
        <v>68</v>
      </c>
      <c r="B39" s="2">
        <v>45736</v>
      </c>
      <c r="C39" s="1" t="s">
        <v>40</v>
      </c>
      <c r="D39" s="1" t="s">
        <v>41</v>
      </c>
      <c r="E39" s="1" t="s">
        <v>21</v>
      </c>
      <c r="F39" s="1">
        <v>76</v>
      </c>
      <c r="G39" s="3">
        <v>36.58</v>
      </c>
      <c r="H39" s="3">
        <f t="shared" si="1"/>
        <v>2780.08</v>
      </c>
      <c r="I39" s="12" t="s">
        <v>13</v>
      </c>
      <c r="J39" s="12" t="str">
        <f>TEXT(Table2[[#This Row],[Date]],"mmm")</f>
        <v>Mar</v>
      </c>
      <c r="K39" s="22">
        <f>MONTH(Table2[[#This Row],[Date]])</f>
        <v>3</v>
      </c>
    </row>
    <row r="40" spans="1:11" x14ac:dyDescent="0.3">
      <c r="A40" s="11" t="s">
        <v>69</v>
      </c>
      <c r="B40" s="2">
        <v>45740</v>
      </c>
      <c r="C40" s="1" t="s">
        <v>15</v>
      </c>
      <c r="D40" s="1" t="s">
        <v>16</v>
      </c>
      <c r="E40" s="1" t="s">
        <v>28</v>
      </c>
      <c r="F40" s="1">
        <v>100</v>
      </c>
      <c r="G40" s="3">
        <v>18.64</v>
      </c>
      <c r="H40" s="3">
        <f t="shared" si="1"/>
        <v>1864</v>
      </c>
      <c r="I40" s="12" t="s">
        <v>13</v>
      </c>
      <c r="J40" s="12" t="str">
        <f>TEXT(Table2[[#This Row],[Date]],"mmm")</f>
        <v>Mar</v>
      </c>
      <c r="K40" s="22">
        <f>MONTH(Table2[[#This Row],[Date]])</f>
        <v>3</v>
      </c>
    </row>
    <row r="41" spans="1:11" x14ac:dyDescent="0.3">
      <c r="A41" s="11" t="s">
        <v>70</v>
      </c>
      <c r="B41" s="2">
        <v>45741</v>
      </c>
      <c r="C41" s="1" t="s">
        <v>40</v>
      </c>
      <c r="D41" s="1" t="s">
        <v>41</v>
      </c>
      <c r="E41" s="1" t="s">
        <v>28</v>
      </c>
      <c r="F41" s="1">
        <v>91</v>
      </c>
      <c r="G41" s="3">
        <v>34.799999999999997</v>
      </c>
      <c r="H41" s="3">
        <f t="shared" si="1"/>
        <v>3166.7999999999997</v>
      </c>
      <c r="I41" s="12" t="s">
        <v>13</v>
      </c>
      <c r="J41" s="12" t="str">
        <f>TEXT(Table2[[#This Row],[Date]],"mmm")</f>
        <v>Mar</v>
      </c>
      <c r="K41" s="22">
        <f>MONTH(Table2[[#This Row],[Date]])</f>
        <v>3</v>
      </c>
    </row>
    <row r="42" spans="1:11" x14ac:dyDescent="0.3">
      <c r="A42" s="11" t="s">
        <v>71</v>
      </c>
      <c r="B42" s="2">
        <v>45741</v>
      </c>
      <c r="C42" s="1" t="s">
        <v>10</v>
      </c>
      <c r="D42" s="1" t="s">
        <v>11</v>
      </c>
      <c r="E42" s="1" t="s">
        <v>45</v>
      </c>
      <c r="F42" s="1">
        <v>13</v>
      </c>
      <c r="G42" s="3">
        <v>47.32</v>
      </c>
      <c r="H42" s="3">
        <f t="shared" si="1"/>
        <v>615.16</v>
      </c>
      <c r="I42" s="12" t="s">
        <v>42</v>
      </c>
      <c r="J42" s="12" t="str">
        <f>TEXT(Table2[[#This Row],[Date]],"mmm")</f>
        <v>Mar</v>
      </c>
      <c r="K42" s="22">
        <f>MONTH(Table2[[#This Row],[Date]])</f>
        <v>3</v>
      </c>
    </row>
    <row r="43" spans="1:11" x14ac:dyDescent="0.3">
      <c r="A43" s="11" t="s">
        <v>72</v>
      </c>
      <c r="B43" s="2">
        <v>45741</v>
      </c>
      <c r="C43" s="1" t="s">
        <v>25</v>
      </c>
      <c r="D43" s="1" t="s">
        <v>26</v>
      </c>
      <c r="E43" s="1" t="s">
        <v>21</v>
      </c>
      <c r="F43" s="1">
        <v>13</v>
      </c>
      <c r="G43" s="3">
        <v>73.83</v>
      </c>
      <c r="H43" s="3">
        <f t="shared" si="1"/>
        <v>959.79</v>
      </c>
      <c r="I43" s="12" t="s">
        <v>22</v>
      </c>
      <c r="J43" s="12" t="str">
        <f>TEXT(Table2[[#This Row],[Date]],"mmm")</f>
        <v>Mar</v>
      </c>
      <c r="K43" s="22">
        <f>MONTH(Table2[[#This Row],[Date]])</f>
        <v>3</v>
      </c>
    </row>
    <row r="44" spans="1:11" x14ac:dyDescent="0.3">
      <c r="A44" s="11" t="s">
        <v>73</v>
      </c>
      <c r="B44" s="2">
        <v>45742</v>
      </c>
      <c r="C44" s="1" t="s">
        <v>25</v>
      </c>
      <c r="D44" s="1" t="s">
        <v>26</v>
      </c>
      <c r="E44" s="1" t="s">
        <v>48</v>
      </c>
      <c r="F44" s="1">
        <v>115</v>
      </c>
      <c r="G44" s="3">
        <v>69.150000000000006</v>
      </c>
      <c r="H44" s="3">
        <f t="shared" si="1"/>
        <v>7952.2500000000009</v>
      </c>
      <c r="I44" s="12" t="s">
        <v>13</v>
      </c>
      <c r="J44" s="12" t="str">
        <f>TEXT(Table2[[#This Row],[Date]],"mmm")</f>
        <v>Mar</v>
      </c>
      <c r="K44" s="22">
        <f>MONTH(Table2[[#This Row],[Date]])</f>
        <v>3</v>
      </c>
    </row>
    <row r="45" spans="1:11" x14ac:dyDescent="0.3">
      <c r="A45" s="11" t="s">
        <v>74</v>
      </c>
      <c r="B45" s="2">
        <v>45744</v>
      </c>
      <c r="C45" s="1" t="s">
        <v>15</v>
      </c>
      <c r="D45" s="1" t="s">
        <v>16</v>
      </c>
      <c r="E45" s="1" t="s">
        <v>21</v>
      </c>
      <c r="F45" s="1">
        <v>75</v>
      </c>
      <c r="G45" s="3">
        <v>19.489999999999998</v>
      </c>
      <c r="H45" s="3">
        <f t="shared" si="1"/>
        <v>1461.7499999999998</v>
      </c>
      <c r="I45" s="12" t="s">
        <v>22</v>
      </c>
      <c r="J45" s="12" t="str">
        <f>TEXT(Table2[[#This Row],[Date]],"mmm")</f>
        <v>Mar</v>
      </c>
      <c r="K45" s="22">
        <f>MONTH(Table2[[#This Row],[Date]])</f>
        <v>3</v>
      </c>
    </row>
    <row r="46" spans="1:11" x14ac:dyDescent="0.3">
      <c r="A46" s="11" t="s">
        <v>75</v>
      </c>
      <c r="B46" s="2">
        <v>45747</v>
      </c>
      <c r="C46" s="1" t="s">
        <v>33</v>
      </c>
      <c r="D46" s="1" t="s">
        <v>34</v>
      </c>
      <c r="E46" s="1" t="s">
        <v>48</v>
      </c>
      <c r="F46" s="1">
        <v>61</v>
      </c>
      <c r="G46" s="3">
        <v>29.67</v>
      </c>
      <c r="H46" s="3">
        <f t="shared" si="1"/>
        <v>1809.8700000000001</v>
      </c>
      <c r="I46" s="12" t="s">
        <v>13</v>
      </c>
      <c r="J46" s="12" t="str">
        <f>TEXT(Table2[[#This Row],[Date]],"mmm")</f>
        <v>Mar</v>
      </c>
      <c r="K46" s="22">
        <f>MONTH(Table2[[#This Row],[Date]])</f>
        <v>3</v>
      </c>
    </row>
    <row r="47" spans="1:11" x14ac:dyDescent="0.3">
      <c r="A47" s="11" t="s">
        <v>76</v>
      </c>
      <c r="B47" s="2">
        <v>45762</v>
      </c>
      <c r="C47" s="1" t="s">
        <v>25</v>
      </c>
      <c r="D47" s="1" t="s">
        <v>26</v>
      </c>
      <c r="E47" s="1" t="s">
        <v>48</v>
      </c>
      <c r="F47" s="1">
        <v>46</v>
      </c>
      <c r="G47" s="3">
        <v>67.45</v>
      </c>
      <c r="H47" s="3">
        <f t="shared" si="1"/>
        <v>3102.7000000000003</v>
      </c>
      <c r="I47" s="12" t="s">
        <v>22</v>
      </c>
      <c r="J47" s="12" t="str">
        <f>TEXT(Table2[[#This Row],[Date]],"mmm")</f>
        <v>Apr</v>
      </c>
      <c r="K47" s="22">
        <f>MONTH(Table2[[#This Row],[Date]])</f>
        <v>4</v>
      </c>
    </row>
    <row r="48" spans="1:11" x14ac:dyDescent="0.3">
      <c r="A48" s="11" t="s">
        <v>77</v>
      </c>
      <c r="B48" s="2">
        <v>45763</v>
      </c>
      <c r="C48" s="1" t="s">
        <v>40</v>
      </c>
      <c r="D48" s="1" t="s">
        <v>41</v>
      </c>
      <c r="E48" s="1" t="s">
        <v>28</v>
      </c>
      <c r="F48" s="1">
        <v>108</v>
      </c>
      <c r="G48" s="3">
        <v>34.14</v>
      </c>
      <c r="H48" s="3">
        <f t="shared" si="1"/>
        <v>3687.12</v>
      </c>
      <c r="I48" s="12" t="s">
        <v>22</v>
      </c>
      <c r="J48" s="12" t="str">
        <f>TEXT(Table2[[#This Row],[Date]],"mmm")</f>
        <v>Apr</v>
      </c>
      <c r="K48" s="22">
        <f>MONTH(Table2[[#This Row],[Date]])</f>
        <v>4</v>
      </c>
    </row>
    <row r="49" spans="1:11" x14ac:dyDescent="0.3">
      <c r="A49" s="11" t="s">
        <v>78</v>
      </c>
      <c r="B49" s="2">
        <v>45767</v>
      </c>
      <c r="C49" s="1" t="s">
        <v>33</v>
      </c>
      <c r="D49" s="1" t="s">
        <v>34</v>
      </c>
      <c r="E49" s="1" t="s">
        <v>21</v>
      </c>
      <c r="F49" s="1">
        <v>54</v>
      </c>
      <c r="G49" s="3">
        <v>31.53</v>
      </c>
      <c r="H49" s="3">
        <f t="shared" si="1"/>
        <v>1702.6200000000001</v>
      </c>
      <c r="I49" s="12" t="s">
        <v>17</v>
      </c>
      <c r="J49" s="12" t="str">
        <f>TEXT(Table2[[#This Row],[Date]],"mmm")</f>
        <v>Apr</v>
      </c>
      <c r="K49" s="22">
        <f>MONTH(Table2[[#This Row],[Date]])</f>
        <v>4</v>
      </c>
    </row>
    <row r="50" spans="1:11" x14ac:dyDescent="0.3">
      <c r="A50" s="11" t="s">
        <v>79</v>
      </c>
      <c r="B50" s="2">
        <v>45767</v>
      </c>
      <c r="C50" s="1" t="s">
        <v>19</v>
      </c>
      <c r="D50" s="1" t="s">
        <v>20</v>
      </c>
      <c r="E50" s="1" t="s">
        <v>28</v>
      </c>
      <c r="F50" s="1">
        <v>52</v>
      </c>
      <c r="G50" s="3">
        <v>14.82</v>
      </c>
      <c r="H50" s="3">
        <f t="shared" si="1"/>
        <v>770.64</v>
      </c>
      <c r="I50" s="12" t="s">
        <v>13</v>
      </c>
      <c r="J50" s="12" t="str">
        <f>TEXT(Table2[[#This Row],[Date]],"mmm")</f>
        <v>Apr</v>
      </c>
      <c r="K50" s="22">
        <f>MONTH(Table2[[#This Row],[Date]])</f>
        <v>4</v>
      </c>
    </row>
    <row r="51" spans="1:11" x14ac:dyDescent="0.3">
      <c r="A51" s="11" t="s">
        <v>80</v>
      </c>
      <c r="B51" s="2">
        <v>45775</v>
      </c>
      <c r="C51" s="1" t="s">
        <v>33</v>
      </c>
      <c r="D51" s="1" t="s">
        <v>34</v>
      </c>
      <c r="E51" s="1" t="s">
        <v>21</v>
      </c>
      <c r="F51" s="1">
        <v>19</v>
      </c>
      <c r="G51" s="3">
        <v>30.56</v>
      </c>
      <c r="H51" s="3">
        <f t="shared" si="1"/>
        <v>580.64</v>
      </c>
      <c r="I51" s="12" t="s">
        <v>13</v>
      </c>
      <c r="J51" s="12" t="str">
        <f>TEXT(Table2[[#This Row],[Date]],"mmm")</f>
        <v>Apr</v>
      </c>
      <c r="K51" s="22">
        <f>MONTH(Table2[[#This Row],[Date]])</f>
        <v>4</v>
      </c>
    </row>
    <row r="52" spans="1:11" x14ac:dyDescent="0.3">
      <c r="A52" s="11" t="s">
        <v>81</v>
      </c>
      <c r="B52" s="2">
        <v>45779</v>
      </c>
      <c r="C52" s="1" t="s">
        <v>10</v>
      </c>
      <c r="D52" s="1" t="s">
        <v>11</v>
      </c>
      <c r="E52" s="1" t="s">
        <v>28</v>
      </c>
      <c r="F52" s="1">
        <v>71</v>
      </c>
      <c r="G52" s="3">
        <v>47.65</v>
      </c>
      <c r="H52" s="3">
        <f t="shared" si="1"/>
        <v>3383.15</v>
      </c>
      <c r="I52" s="12" t="s">
        <v>13</v>
      </c>
      <c r="J52" s="12" t="str">
        <f>TEXT(Table2[[#This Row],[Date]],"mmm")</f>
        <v>May</v>
      </c>
      <c r="K52" s="22">
        <f>MONTH(Table2[[#This Row],[Date]])</f>
        <v>5</v>
      </c>
    </row>
    <row r="53" spans="1:11" x14ac:dyDescent="0.3">
      <c r="A53" s="11" t="s">
        <v>82</v>
      </c>
      <c r="B53" s="2">
        <v>45780</v>
      </c>
      <c r="C53" s="1" t="s">
        <v>25</v>
      </c>
      <c r="D53" s="1" t="s">
        <v>26</v>
      </c>
      <c r="E53" s="1" t="s">
        <v>28</v>
      </c>
      <c r="F53" s="1">
        <v>95</v>
      </c>
      <c r="G53" s="3">
        <v>70.14</v>
      </c>
      <c r="H53" s="3">
        <f t="shared" si="1"/>
        <v>6663.3</v>
      </c>
      <c r="I53" s="12" t="s">
        <v>13</v>
      </c>
      <c r="J53" s="12" t="str">
        <f>TEXT(Table2[[#This Row],[Date]],"mmm")</f>
        <v>May</v>
      </c>
      <c r="K53" s="22">
        <f>MONTH(Table2[[#This Row],[Date]])</f>
        <v>5</v>
      </c>
    </row>
    <row r="54" spans="1:11" x14ac:dyDescent="0.3">
      <c r="A54" s="11" t="s">
        <v>83</v>
      </c>
      <c r="B54" s="2">
        <v>45782</v>
      </c>
      <c r="C54" s="1" t="s">
        <v>10</v>
      </c>
      <c r="D54" s="1" t="s">
        <v>11</v>
      </c>
      <c r="E54" s="1" t="s">
        <v>48</v>
      </c>
      <c r="F54" s="1">
        <v>10</v>
      </c>
      <c r="G54" s="3">
        <v>54.17</v>
      </c>
      <c r="H54" s="3">
        <f t="shared" si="1"/>
        <v>541.70000000000005</v>
      </c>
      <c r="I54" s="12" t="s">
        <v>17</v>
      </c>
      <c r="J54" s="12" t="str">
        <f>TEXT(Table2[[#This Row],[Date]],"mmm")</f>
        <v>May</v>
      </c>
      <c r="K54" s="22">
        <f>MONTH(Table2[[#This Row],[Date]])</f>
        <v>5</v>
      </c>
    </row>
    <row r="55" spans="1:11" x14ac:dyDescent="0.3">
      <c r="A55" s="11" t="s">
        <v>84</v>
      </c>
      <c r="B55" s="2">
        <v>45782</v>
      </c>
      <c r="C55" s="1" t="s">
        <v>25</v>
      </c>
      <c r="D55" s="1" t="s">
        <v>26</v>
      </c>
      <c r="E55" s="1" t="s">
        <v>48</v>
      </c>
      <c r="F55" s="1">
        <v>57</v>
      </c>
      <c r="G55" s="3">
        <v>67.900000000000006</v>
      </c>
      <c r="H55" s="3">
        <f t="shared" si="1"/>
        <v>3870.3</v>
      </c>
      <c r="I55" s="12" t="s">
        <v>13</v>
      </c>
      <c r="J55" s="12" t="str">
        <f>TEXT(Table2[[#This Row],[Date]],"mmm")</f>
        <v>May</v>
      </c>
      <c r="K55" s="22">
        <f>MONTH(Table2[[#This Row],[Date]])</f>
        <v>5</v>
      </c>
    </row>
    <row r="56" spans="1:11" x14ac:dyDescent="0.3">
      <c r="A56" s="11" t="s">
        <v>85</v>
      </c>
      <c r="B56" s="2">
        <v>45782</v>
      </c>
      <c r="C56" s="1" t="s">
        <v>40</v>
      </c>
      <c r="D56" s="1" t="s">
        <v>41</v>
      </c>
      <c r="E56" s="1" t="s">
        <v>48</v>
      </c>
      <c r="F56" s="1">
        <v>59</v>
      </c>
      <c r="G56" s="3">
        <v>31.62</v>
      </c>
      <c r="H56" s="3">
        <f t="shared" si="1"/>
        <v>1865.5800000000002</v>
      </c>
      <c r="I56" s="12" t="s">
        <v>22</v>
      </c>
      <c r="J56" s="12" t="str">
        <f>TEXT(Table2[[#This Row],[Date]],"mmm")</f>
        <v>May</v>
      </c>
      <c r="K56" s="22">
        <f>MONTH(Table2[[#This Row],[Date]])</f>
        <v>5</v>
      </c>
    </row>
    <row r="57" spans="1:11" x14ac:dyDescent="0.3">
      <c r="A57" s="11" t="s">
        <v>86</v>
      </c>
      <c r="B57" s="2">
        <v>45783</v>
      </c>
      <c r="C57" s="1" t="s">
        <v>19</v>
      </c>
      <c r="D57" s="1" t="s">
        <v>20</v>
      </c>
      <c r="E57" s="1" t="s">
        <v>21</v>
      </c>
      <c r="F57" s="1">
        <v>67</v>
      </c>
      <c r="G57" s="3">
        <v>13.98</v>
      </c>
      <c r="H57" s="3">
        <f t="shared" si="1"/>
        <v>936.66000000000008</v>
      </c>
      <c r="I57" s="12" t="s">
        <v>13</v>
      </c>
      <c r="J57" s="12" t="str">
        <f>TEXT(Table2[[#This Row],[Date]],"mmm")</f>
        <v>May</v>
      </c>
      <c r="K57" s="22">
        <f>MONTH(Table2[[#This Row],[Date]])</f>
        <v>5</v>
      </c>
    </row>
    <row r="58" spans="1:11" x14ac:dyDescent="0.3">
      <c r="A58" s="11" t="s">
        <v>87</v>
      </c>
      <c r="B58" s="2">
        <v>45784</v>
      </c>
      <c r="C58" s="1" t="s">
        <v>15</v>
      </c>
      <c r="D58" s="1" t="s">
        <v>16</v>
      </c>
      <c r="E58" s="1" t="s">
        <v>48</v>
      </c>
      <c r="F58" s="1">
        <v>43</v>
      </c>
      <c r="G58" s="3">
        <v>19.79</v>
      </c>
      <c r="H58" s="3">
        <f t="shared" si="1"/>
        <v>850.96999999999991</v>
      </c>
      <c r="I58" s="12" t="s">
        <v>13</v>
      </c>
      <c r="J58" s="12" t="str">
        <f>TEXT(Table2[[#This Row],[Date]],"mmm")</f>
        <v>May</v>
      </c>
      <c r="K58" s="22">
        <f>MONTH(Table2[[#This Row],[Date]])</f>
        <v>5</v>
      </c>
    </row>
    <row r="59" spans="1:11" x14ac:dyDescent="0.3">
      <c r="A59" s="11" t="s">
        <v>88</v>
      </c>
      <c r="B59" s="2">
        <v>45786</v>
      </c>
      <c r="C59" s="1" t="s">
        <v>10</v>
      </c>
      <c r="D59" s="1" t="s">
        <v>11</v>
      </c>
      <c r="E59" s="1" t="s">
        <v>21</v>
      </c>
      <c r="F59" s="1">
        <v>34</v>
      </c>
      <c r="G59" s="3">
        <v>48.63</v>
      </c>
      <c r="H59" s="3">
        <f t="shared" si="1"/>
        <v>1653.42</v>
      </c>
      <c r="I59" s="12" t="s">
        <v>22</v>
      </c>
      <c r="J59" s="12" t="str">
        <f>TEXT(Table2[[#This Row],[Date]],"mmm")</f>
        <v>May</v>
      </c>
      <c r="K59" s="22">
        <f>MONTH(Table2[[#This Row],[Date]])</f>
        <v>5</v>
      </c>
    </row>
    <row r="60" spans="1:11" x14ac:dyDescent="0.3">
      <c r="A60" s="11" t="s">
        <v>89</v>
      </c>
      <c r="B60" s="2">
        <v>45788</v>
      </c>
      <c r="C60" s="1" t="s">
        <v>19</v>
      </c>
      <c r="D60" s="1" t="s">
        <v>20</v>
      </c>
      <c r="E60" s="1" t="s">
        <v>12</v>
      </c>
      <c r="F60" s="1">
        <v>10</v>
      </c>
      <c r="G60" s="3">
        <v>14.76</v>
      </c>
      <c r="H60" s="3">
        <f t="shared" si="1"/>
        <v>147.6</v>
      </c>
      <c r="I60" s="12" t="s">
        <v>17</v>
      </c>
      <c r="J60" s="12" t="str">
        <f>TEXT(Table2[[#This Row],[Date]],"mmm")</f>
        <v>May</v>
      </c>
      <c r="K60" s="22">
        <f>MONTH(Table2[[#This Row],[Date]])</f>
        <v>5</v>
      </c>
    </row>
    <row r="61" spans="1:11" x14ac:dyDescent="0.3">
      <c r="A61" s="11" t="s">
        <v>90</v>
      </c>
      <c r="B61" s="2">
        <v>45792</v>
      </c>
      <c r="C61" s="1" t="s">
        <v>33</v>
      </c>
      <c r="D61" s="1" t="s">
        <v>34</v>
      </c>
      <c r="E61" s="1" t="s">
        <v>12</v>
      </c>
      <c r="F61" s="1">
        <v>74</v>
      </c>
      <c r="G61" s="3">
        <v>31.71</v>
      </c>
      <c r="H61" s="3">
        <f t="shared" si="1"/>
        <v>2346.54</v>
      </c>
      <c r="I61" s="12" t="s">
        <v>17</v>
      </c>
      <c r="J61" s="12" t="str">
        <f>TEXT(Table2[[#This Row],[Date]],"mmm")</f>
        <v>May</v>
      </c>
      <c r="K61" s="22">
        <f>MONTH(Table2[[#This Row],[Date]])</f>
        <v>5</v>
      </c>
    </row>
    <row r="62" spans="1:11" x14ac:dyDescent="0.3">
      <c r="A62" s="11" t="s">
        <v>91</v>
      </c>
      <c r="B62" s="2">
        <v>45793</v>
      </c>
      <c r="C62" s="1" t="s">
        <v>19</v>
      </c>
      <c r="D62" s="1" t="s">
        <v>20</v>
      </c>
      <c r="E62" s="1" t="s">
        <v>12</v>
      </c>
      <c r="F62" s="1">
        <v>78</v>
      </c>
      <c r="G62" s="3">
        <v>13.65</v>
      </c>
      <c r="H62" s="3">
        <f t="shared" si="1"/>
        <v>1064.7</v>
      </c>
      <c r="I62" s="12" t="s">
        <v>42</v>
      </c>
      <c r="J62" s="12" t="str">
        <f>TEXT(Table2[[#This Row],[Date]],"mmm")</f>
        <v>May</v>
      </c>
      <c r="K62" s="22">
        <f>MONTH(Table2[[#This Row],[Date]])</f>
        <v>5</v>
      </c>
    </row>
    <row r="63" spans="1:11" x14ac:dyDescent="0.3">
      <c r="A63" s="11" t="s">
        <v>92</v>
      </c>
      <c r="B63" s="2">
        <v>45793</v>
      </c>
      <c r="C63" s="1" t="s">
        <v>33</v>
      </c>
      <c r="D63" s="1" t="s">
        <v>34</v>
      </c>
      <c r="E63" s="1" t="s">
        <v>28</v>
      </c>
      <c r="F63" s="1">
        <v>118</v>
      </c>
      <c r="G63" s="3">
        <v>26.88</v>
      </c>
      <c r="H63" s="3">
        <f t="shared" si="1"/>
        <v>3171.8399999999997</v>
      </c>
      <c r="I63" s="12" t="s">
        <v>22</v>
      </c>
      <c r="J63" s="12" t="str">
        <f>TEXT(Table2[[#This Row],[Date]],"mmm")</f>
        <v>May</v>
      </c>
      <c r="K63" s="22">
        <f>MONTH(Table2[[#This Row],[Date]])</f>
        <v>5</v>
      </c>
    </row>
    <row r="64" spans="1:11" x14ac:dyDescent="0.3">
      <c r="A64" s="11" t="s">
        <v>93</v>
      </c>
      <c r="B64" s="2">
        <v>45793</v>
      </c>
      <c r="C64" s="1" t="s">
        <v>19</v>
      </c>
      <c r="D64" s="1" t="s">
        <v>20</v>
      </c>
      <c r="E64" s="1" t="s">
        <v>21</v>
      </c>
      <c r="F64" s="1">
        <v>65</v>
      </c>
      <c r="G64" s="3">
        <v>14.27</v>
      </c>
      <c r="H64" s="3">
        <f t="shared" si="1"/>
        <v>927.55</v>
      </c>
      <c r="I64" s="12" t="s">
        <v>17</v>
      </c>
      <c r="J64" s="12" t="str">
        <f>TEXT(Table2[[#This Row],[Date]],"mmm")</f>
        <v>May</v>
      </c>
      <c r="K64" s="22">
        <f>MONTH(Table2[[#This Row],[Date]])</f>
        <v>5</v>
      </c>
    </row>
    <row r="65" spans="1:11" x14ac:dyDescent="0.3">
      <c r="A65" s="11" t="s">
        <v>94</v>
      </c>
      <c r="B65" s="2">
        <v>45793</v>
      </c>
      <c r="C65" s="1" t="s">
        <v>15</v>
      </c>
      <c r="D65" s="1" t="s">
        <v>16</v>
      </c>
      <c r="E65" s="1" t="s">
        <v>48</v>
      </c>
      <c r="F65" s="1">
        <v>112</v>
      </c>
      <c r="G65" s="3">
        <v>20.46</v>
      </c>
      <c r="H65" s="3">
        <f t="shared" si="1"/>
        <v>2291.52</v>
      </c>
      <c r="I65" s="12" t="s">
        <v>13</v>
      </c>
      <c r="J65" s="12" t="str">
        <f>TEXT(Table2[[#This Row],[Date]],"mmm")</f>
        <v>May</v>
      </c>
      <c r="K65" s="22">
        <f>MONTH(Table2[[#This Row],[Date]])</f>
        <v>5</v>
      </c>
    </row>
    <row r="66" spans="1:11" x14ac:dyDescent="0.3">
      <c r="A66" s="11" t="s">
        <v>95</v>
      </c>
      <c r="B66" s="2">
        <v>45799</v>
      </c>
      <c r="C66" s="1" t="s">
        <v>19</v>
      </c>
      <c r="D66" s="1" t="s">
        <v>20</v>
      </c>
      <c r="E66" s="1" t="s">
        <v>21</v>
      </c>
      <c r="F66" s="1">
        <v>108</v>
      </c>
      <c r="G66" s="3">
        <v>13.67</v>
      </c>
      <c r="H66" s="3">
        <f t="shared" ref="H66:H97" si="2">F66*G66</f>
        <v>1476.36</v>
      </c>
      <c r="I66" s="12" t="s">
        <v>42</v>
      </c>
      <c r="J66" s="12" t="str">
        <f>TEXT(Table2[[#This Row],[Date]],"mmm")</f>
        <v>May</v>
      </c>
      <c r="K66" s="22">
        <f>MONTH(Table2[[#This Row],[Date]])</f>
        <v>5</v>
      </c>
    </row>
    <row r="67" spans="1:11" x14ac:dyDescent="0.3">
      <c r="A67" s="11" t="s">
        <v>96</v>
      </c>
      <c r="B67" s="2">
        <v>45800</v>
      </c>
      <c r="C67" s="1" t="s">
        <v>40</v>
      </c>
      <c r="D67" s="1" t="s">
        <v>41</v>
      </c>
      <c r="E67" s="1" t="s">
        <v>21</v>
      </c>
      <c r="F67" s="1">
        <v>19</v>
      </c>
      <c r="G67" s="3">
        <v>33.24</v>
      </c>
      <c r="H67" s="3">
        <f t="shared" si="2"/>
        <v>631.56000000000006</v>
      </c>
      <c r="I67" s="12" t="s">
        <v>17</v>
      </c>
      <c r="J67" s="12" t="str">
        <f>TEXT(Table2[[#This Row],[Date]],"mmm")</f>
        <v>May</v>
      </c>
      <c r="K67" s="22">
        <f>MONTH(Table2[[#This Row],[Date]])</f>
        <v>5</v>
      </c>
    </row>
    <row r="68" spans="1:11" x14ac:dyDescent="0.3">
      <c r="A68" s="11" t="s">
        <v>97</v>
      </c>
      <c r="B68" s="2">
        <v>45800</v>
      </c>
      <c r="C68" s="1" t="s">
        <v>25</v>
      </c>
      <c r="D68" s="1" t="s">
        <v>26</v>
      </c>
      <c r="E68" s="1" t="s">
        <v>48</v>
      </c>
      <c r="F68" s="1">
        <v>61</v>
      </c>
      <c r="G68" s="3">
        <v>70.58</v>
      </c>
      <c r="H68" s="3">
        <f t="shared" si="2"/>
        <v>4305.38</v>
      </c>
      <c r="I68" s="12" t="s">
        <v>17</v>
      </c>
      <c r="J68" s="12" t="str">
        <f>TEXT(Table2[[#This Row],[Date]],"mmm")</f>
        <v>May</v>
      </c>
      <c r="K68" s="22">
        <f>MONTH(Table2[[#This Row],[Date]])</f>
        <v>5</v>
      </c>
    </row>
    <row r="69" spans="1:11" x14ac:dyDescent="0.3">
      <c r="A69" s="11" t="s">
        <v>98</v>
      </c>
      <c r="B69" s="2">
        <v>45800</v>
      </c>
      <c r="C69" s="1" t="s">
        <v>40</v>
      </c>
      <c r="D69" s="1" t="s">
        <v>41</v>
      </c>
      <c r="E69" s="1" t="s">
        <v>21</v>
      </c>
      <c r="F69" s="1">
        <v>20</v>
      </c>
      <c r="G69" s="3">
        <v>33.409999999999997</v>
      </c>
      <c r="H69" s="3">
        <f t="shared" si="2"/>
        <v>668.19999999999993</v>
      </c>
      <c r="I69" s="12" t="s">
        <v>22</v>
      </c>
      <c r="J69" s="12" t="str">
        <f>TEXT(Table2[[#This Row],[Date]],"mmm")</f>
        <v>May</v>
      </c>
      <c r="K69" s="22">
        <f>MONTH(Table2[[#This Row],[Date]])</f>
        <v>5</v>
      </c>
    </row>
    <row r="70" spans="1:11" x14ac:dyDescent="0.3">
      <c r="A70" s="11" t="s">
        <v>99</v>
      </c>
      <c r="B70" s="2">
        <v>45802</v>
      </c>
      <c r="C70" s="1" t="s">
        <v>33</v>
      </c>
      <c r="D70" s="1" t="s">
        <v>34</v>
      </c>
      <c r="E70" s="1" t="s">
        <v>21</v>
      </c>
      <c r="F70" s="1">
        <v>53</v>
      </c>
      <c r="G70" s="3">
        <v>27.74</v>
      </c>
      <c r="H70" s="3">
        <f t="shared" si="2"/>
        <v>1470.22</v>
      </c>
      <c r="I70" s="12" t="s">
        <v>22</v>
      </c>
      <c r="J70" s="12" t="str">
        <f>TEXT(Table2[[#This Row],[Date]],"mmm")</f>
        <v>May</v>
      </c>
      <c r="K70" s="22">
        <f>MONTH(Table2[[#This Row],[Date]])</f>
        <v>5</v>
      </c>
    </row>
    <row r="71" spans="1:11" x14ac:dyDescent="0.3">
      <c r="A71" s="11" t="s">
        <v>100</v>
      </c>
      <c r="B71" s="2">
        <v>45804</v>
      </c>
      <c r="C71" s="1" t="s">
        <v>10</v>
      </c>
      <c r="D71" s="1" t="s">
        <v>11</v>
      </c>
      <c r="E71" s="1" t="s">
        <v>28</v>
      </c>
      <c r="F71" s="1">
        <v>84</v>
      </c>
      <c r="G71" s="3">
        <v>51.42</v>
      </c>
      <c r="H71" s="3">
        <f t="shared" si="2"/>
        <v>4319.28</v>
      </c>
      <c r="I71" s="12" t="s">
        <v>13</v>
      </c>
      <c r="J71" s="12" t="str">
        <f>TEXT(Table2[[#This Row],[Date]],"mmm")</f>
        <v>May</v>
      </c>
      <c r="K71" s="22">
        <f>MONTH(Table2[[#This Row],[Date]])</f>
        <v>5</v>
      </c>
    </row>
    <row r="72" spans="1:11" x14ac:dyDescent="0.3">
      <c r="A72" s="11" t="s">
        <v>101</v>
      </c>
      <c r="B72" s="2">
        <v>45807</v>
      </c>
      <c r="C72" s="1" t="s">
        <v>33</v>
      </c>
      <c r="D72" s="1" t="s">
        <v>34</v>
      </c>
      <c r="E72" s="1" t="s">
        <v>12</v>
      </c>
      <c r="F72" s="1">
        <v>63</v>
      </c>
      <c r="G72" s="3">
        <v>31.27</v>
      </c>
      <c r="H72" s="3">
        <f t="shared" si="2"/>
        <v>1970.01</v>
      </c>
      <c r="I72" s="12" t="s">
        <v>42</v>
      </c>
      <c r="J72" s="12" t="str">
        <f>TEXT(Table2[[#This Row],[Date]],"mmm")</f>
        <v>May</v>
      </c>
      <c r="K72" s="22">
        <f>MONTH(Table2[[#This Row],[Date]])</f>
        <v>5</v>
      </c>
    </row>
    <row r="73" spans="1:11" x14ac:dyDescent="0.3">
      <c r="A73" s="11" t="s">
        <v>102</v>
      </c>
      <c r="B73" s="2">
        <v>45810</v>
      </c>
      <c r="C73" s="1" t="s">
        <v>15</v>
      </c>
      <c r="D73" s="1" t="s">
        <v>16</v>
      </c>
      <c r="E73" s="1" t="s">
        <v>28</v>
      </c>
      <c r="F73" s="1">
        <v>35</v>
      </c>
      <c r="G73" s="3">
        <v>17.649999999999999</v>
      </c>
      <c r="H73" s="3">
        <f t="shared" si="2"/>
        <v>617.75</v>
      </c>
      <c r="I73" s="12" t="s">
        <v>17</v>
      </c>
      <c r="J73" s="12" t="str">
        <f>TEXT(Table2[[#This Row],[Date]],"mmm")</f>
        <v>Jun</v>
      </c>
      <c r="K73" s="22">
        <f>MONTH(Table2[[#This Row],[Date]])</f>
        <v>6</v>
      </c>
    </row>
    <row r="74" spans="1:11" x14ac:dyDescent="0.3">
      <c r="A74" s="11" t="s">
        <v>103</v>
      </c>
      <c r="B74" s="2">
        <v>45811</v>
      </c>
      <c r="C74" s="1" t="s">
        <v>33</v>
      </c>
      <c r="D74" s="1" t="s">
        <v>34</v>
      </c>
      <c r="E74" s="1" t="s">
        <v>28</v>
      </c>
      <c r="F74" s="1">
        <v>62</v>
      </c>
      <c r="G74" s="3">
        <v>28.43</v>
      </c>
      <c r="H74" s="3">
        <f t="shared" si="2"/>
        <v>1762.66</v>
      </c>
      <c r="I74" s="12" t="s">
        <v>22</v>
      </c>
      <c r="J74" s="12" t="str">
        <f>TEXT(Table2[[#This Row],[Date]],"mmm")</f>
        <v>Jun</v>
      </c>
      <c r="K74" s="22">
        <f>MONTH(Table2[[#This Row],[Date]])</f>
        <v>6</v>
      </c>
    </row>
    <row r="75" spans="1:11" x14ac:dyDescent="0.3">
      <c r="A75" s="11" t="s">
        <v>104</v>
      </c>
      <c r="B75" s="2">
        <v>45817</v>
      </c>
      <c r="C75" s="1" t="s">
        <v>40</v>
      </c>
      <c r="D75" s="1" t="s">
        <v>41</v>
      </c>
      <c r="E75" s="1" t="s">
        <v>30</v>
      </c>
      <c r="F75" s="1">
        <v>93</v>
      </c>
      <c r="G75" s="3">
        <v>32.79</v>
      </c>
      <c r="H75" s="3">
        <f t="shared" si="2"/>
        <v>3049.47</v>
      </c>
      <c r="I75" s="12" t="s">
        <v>17</v>
      </c>
      <c r="J75" s="12" t="str">
        <f>TEXT(Table2[[#This Row],[Date]],"mmm")</f>
        <v>Jun</v>
      </c>
      <c r="K75" s="22">
        <f>MONTH(Table2[[#This Row],[Date]])</f>
        <v>6</v>
      </c>
    </row>
    <row r="76" spans="1:11" x14ac:dyDescent="0.3">
      <c r="A76" s="11" t="s">
        <v>105</v>
      </c>
      <c r="B76" s="2">
        <v>45817</v>
      </c>
      <c r="C76" s="1" t="s">
        <v>33</v>
      </c>
      <c r="D76" s="1" t="s">
        <v>34</v>
      </c>
      <c r="E76" s="1" t="s">
        <v>21</v>
      </c>
      <c r="F76" s="1">
        <v>62</v>
      </c>
      <c r="G76" s="3">
        <v>27.12</v>
      </c>
      <c r="H76" s="3">
        <f t="shared" si="2"/>
        <v>1681.44</v>
      </c>
      <c r="I76" s="12" t="s">
        <v>42</v>
      </c>
      <c r="J76" s="12" t="str">
        <f>TEXT(Table2[[#This Row],[Date]],"mmm")</f>
        <v>Jun</v>
      </c>
      <c r="K76" s="22">
        <f>MONTH(Table2[[#This Row],[Date]])</f>
        <v>6</v>
      </c>
    </row>
    <row r="77" spans="1:11" x14ac:dyDescent="0.3">
      <c r="A77" s="11" t="s">
        <v>106</v>
      </c>
      <c r="B77" s="2">
        <v>45823</v>
      </c>
      <c r="C77" s="1" t="s">
        <v>33</v>
      </c>
      <c r="D77" s="1" t="s">
        <v>34</v>
      </c>
      <c r="E77" s="1" t="s">
        <v>21</v>
      </c>
      <c r="F77" s="1">
        <v>21</v>
      </c>
      <c r="G77" s="3">
        <v>27.88</v>
      </c>
      <c r="H77" s="3">
        <f t="shared" si="2"/>
        <v>585.48</v>
      </c>
      <c r="I77" s="12" t="s">
        <v>22</v>
      </c>
      <c r="J77" s="12" t="str">
        <f>TEXT(Table2[[#This Row],[Date]],"mmm")</f>
        <v>Jun</v>
      </c>
      <c r="K77" s="22">
        <f>MONTH(Table2[[#This Row],[Date]])</f>
        <v>6</v>
      </c>
    </row>
    <row r="78" spans="1:11" x14ac:dyDescent="0.3">
      <c r="A78" s="11" t="s">
        <v>107</v>
      </c>
      <c r="B78" s="2">
        <v>45824</v>
      </c>
      <c r="C78" s="1" t="s">
        <v>19</v>
      </c>
      <c r="D78" s="1" t="s">
        <v>20</v>
      </c>
      <c r="E78" s="1" t="s">
        <v>21</v>
      </c>
      <c r="F78" s="1">
        <v>14</v>
      </c>
      <c r="G78" s="3">
        <v>15.55</v>
      </c>
      <c r="H78" s="3">
        <f t="shared" si="2"/>
        <v>217.70000000000002</v>
      </c>
      <c r="I78" s="12" t="s">
        <v>13</v>
      </c>
      <c r="J78" s="12" t="str">
        <f>TEXT(Table2[[#This Row],[Date]],"mmm")</f>
        <v>Jun</v>
      </c>
      <c r="K78" s="22">
        <f>MONTH(Table2[[#This Row],[Date]])</f>
        <v>6</v>
      </c>
    </row>
    <row r="79" spans="1:11" x14ac:dyDescent="0.3">
      <c r="A79" s="11" t="s">
        <v>108</v>
      </c>
      <c r="B79" s="2">
        <v>45827</v>
      </c>
      <c r="C79" s="1" t="s">
        <v>19</v>
      </c>
      <c r="D79" s="1" t="s">
        <v>20</v>
      </c>
      <c r="E79" s="1" t="s">
        <v>21</v>
      </c>
      <c r="F79" s="1">
        <v>43</v>
      </c>
      <c r="G79" s="3">
        <v>13.8</v>
      </c>
      <c r="H79" s="3">
        <f t="shared" si="2"/>
        <v>593.4</v>
      </c>
      <c r="I79" s="12" t="s">
        <v>42</v>
      </c>
      <c r="J79" s="12" t="str">
        <f>TEXT(Table2[[#This Row],[Date]],"mmm")</f>
        <v>Jun</v>
      </c>
      <c r="K79" s="22">
        <f>MONTH(Table2[[#This Row],[Date]])</f>
        <v>6</v>
      </c>
    </row>
    <row r="80" spans="1:11" x14ac:dyDescent="0.3">
      <c r="A80" s="11" t="s">
        <v>109</v>
      </c>
      <c r="B80" s="2">
        <v>45830</v>
      </c>
      <c r="C80" s="1" t="s">
        <v>19</v>
      </c>
      <c r="D80" s="1" t="s">
        <v>20</v>
      </c>
      <c r="E80" s="1" t="s">
        <v>21</v>
      </c>
      <c r="F80" s="1">
        <v>22</v>
      </c>
      <c r="G80" s="3">
        <v>14.31</v>
      </c>
      <c r="H80" s="3">
        <f t="shared" si="2"/>
        <v>314.82</v>
      </c>
      <c r="I80" s="12" t="s">
        <v>13</v>
      </c>
      <c r="J80" s="12" t="str">
        <f>TEXT(Table2[[#This Row],[Date]],"mmm")</f>
        <v>Jun</v>
      </c>
      <c r="K80" s="22">
        <f>MONTH(Table2[[#This Row],[Date]])</f>
        <v>6</v>
      </c>
    </row>
    <row r="81" spans="1:11" x14ac:dyDescent="0.3">
      <c r="A81" s="11" t="s">
        <v>110</v>
      </c>
      <c r="B81" s="2">
        <v>45842</v>
      </c>
      <c r="C81" s="1" t="s">
        <v>10</v>
      </c>
      <c r="D81" s="1" t="s">
        <v>11</v>
      </c>
      <c r="E81" s="1" t="s">
        <v>28</v>
      </c>
      <c r="F81" s="1">
        <v>100</v>
      </c>
      <c r="G81" s="3">
        <v>50.73</v>
      </c>
      <c r="H81" s="3">
        <f t="shared" si="2"/>
        <v>5073</v>
      </c>
      <c r="I81" s="12" t="s">
        <v>13</v>
      </c>
      <c r="J81" s="12" t="str">
        <f>TEXT(Table2[[#This Row],[Date]],"mmm")</f>
        <v>Jul</v>
      </c>
      <c r="K81" s="22">
        <f>MONTH(Table2[[#This Row],[Date]])</f>
        <v>7</v>
      </c>
    </row>
    <row r="82" spans="1:11" x14ac:dyDescent="0.3">
      <c r="A82" s="11" t="s">
        <v>111</v>
      </c>
      <c r="B82" s="2">
        <v>45843</v>
      </c>
      <c r="C82" s="1" t="s">
        <v>25</v>
      </c>
      <c r="D82" s="1" t="s">
        <v>26</v>
      </c>
      <c r="E82" s="1" t="s">
        <v>21</v>
      </c>
      <c r="F82" s="1">
        <v>40</v>
      </c>
      <c r="G82" s="3">
        <v>73.16</v>
      </c>
      <c r="H82" s="3">
        <f t="shared" si="2"/>
        <v>2926.3999999999996</v>
      </c>
      <c r="I82" s="12" t="s">
        <v>42</v>
      </c>
      <c r="J82" s="12" t="str">
        <f>TEXT(Table2[[#This Row],[Date]],"mmm")</f>
        <v>Jul</v>
      </c>
      <c r="K82" s="22">
        <f>MONTH(Table2[[#This Row],[Date]])</f>
        <v>7</v>
      </c>
    </row>
    <row r="83" spans="1:11" x14ac:dyDescent="0.3">
      <c r="A83" s="11" t="s">
        <v>112</v>
      </c>
      <c r="B83" s="2">
        <v>45844</v>
      </c>
      <c r="C83" s="1" t="s">
        <v>10</v>
      </c>
      <c r="D83" s="1" t="s">
        <v>11</v>
      </c>
      <c r="E83" s="1" t="s">
        <v>28</v>
      </c>
      <c r="F83" s="1">
        <v>36</v>
      </c>
      <c r="G83" s="3">
        <v>52.03</v>
      </c>
      <c r="H83" s="3">
        <f t="shared" si="2"/>
        <v>1873.08</v>
      </c>
      <c r="I83" s="12" t="s">
        <v>22</v>
      </c>
      <c r="J83" s="12" t="str">
        <f>TEXT(Table2[[#This Row],[Date]],"mmm")</f>
        <v>Jul</v>
      </c>
      <c r="K83" s="22">
        <f>MONTH(Table2[[#This Row],[Date]])</f>
        <v>7</v>
      </c>
    </row>
    <row r="84" spans="1:11" x14ac:dyDescent="0.3">
      <c r="A84" s="11" t="s">
        <v>113</v>
      </c>
      <c r="B84" s="2">
        <v>45846</v>
      </c>
      <c r="C84" s="1" t="s">
        <v>10</v>
      </c>
      <c r="D84" s="1" t="s">
        <v>11</v>
      </c>
      <c r="E84" s="1" t="s">
        <v>48</v>
      </c>
      <c r="F84" s="1">
        <v>105</v>
      </c>
      <c r="G84" s="3">
        <v>52.5</v>
      </c>
      <c r="H84" s="3">
        <f t="shared" si="2"/>
        <v>5512.5</v>
      </c>
      <c r="I84" s="12" t="s">
        <v>17</v>
      </c>
      <c r="J84" s="12" t="str">
        <f>TEXT(Table2[[#This Row],[Date]],"mmm")</f>
        <v>Jul</v>
      </c>
      <c r="K84" s="22">
        <f>MONTH(Table2[[#This Row],[Date]])</f>
        <v>7</v>
      </c>
    </row>
    <row r="85" spans="1:11" x14ac:dyDescent="0.3">
      <c r="A85" s="11" t="s">
        <v>114</v>
      </c>
      <c r="B85" s="2">
        <v>45847</v>
      </c>
      <c r="C85" s="1" t="s">
        <v>25</v>
      </c>
      <c r="D85" s="1" t="s">
        <v>26</v>
      </c>
      <c r="E85" s="1" t="s">
        <v>21</v>
      </c>
      <c r="F85" s="1">
        <v>116</v>
      </c>
      <c r="G85" s="3">
        <v>68.81</v>
      </c>
      <c r="H85" s="3">
        <f t="shared" si="2"/>
        <v>7981.96</v>
      </c>
      <c r="I85" s="12" t="s">
        <v>13</v>
      </c>
      <c r="J85" s="12" t="str">
        <f>TEXT(Table2[[#This Row],[Date]],"mmm")</f>
        <v>Jul</v>
      </c>
      <c r="K85" s="22">
        <f>MONTH(Table2[[#This Row],[Date]])</f>
        <v>7</v>
      </c>
    </row>
    <row r="86" spans="1:11" x14ac:dyDescent="0.3">
      <c r="A86" s="11" t="s">
        <v>115</v>
      </c>
      <c r="B86" s="2">
        <v>45850</v>
      </c>
      <c r="C86" s="1" t="s">
        <v>40</v>
      </c>
      <c r="D86" s="1" t="s">
        <v>41</v>
      </c>
      <c r="E86" s="1" t="s">
        <v>30</v>
      </c>
      <c r="F86" s="1">
        <v>35</v>
      </c>
      <c r="G86" s="3">
        <v>30.89</v>
      </c>
      <c r="H86" s="3">
        <f t="shared" si="2"/>
        <v>1081.1500000000001</v>
      </c>
      <c r="I86" s="12" t="s">
        <v>22</v>
      </c>
      <c r="J86" s="12" t="str">
        <f>TEXT(Table2[[#This Row],[Date]],"mmm")</f>
        <v>Jul</v>
      </c>
      <c r="K86" s="22">
        <f>MONTH(Table2[[#This Row],[Date]])</f>
        <v>7</v>
      </c>
    </row>
    <row r="87" spans="1:11" x14ac:dyDescent="0.3">
      <c r="A87" s="11" t="s">
        <v>116</v>
      </c>
      <c r="B87" s="2">
        <v>45852</v>
      </c>
      <c r="C87" s="1" t="s">
        <v>25</v>
      </c>
      <c r="D87" s="1" t="s">
        <v>26</v>
      </c>
      <c r="E87" s="1" t="s">
        <v>21</v>
      </c>
      <c r="F87" s="1">
        <v>51</v>
      </c>
      <c r="G87" s="3">
        <v>66.14</v>
      </c>
      <c r="H87" s="3">
        <f t="shared" si="2"/>
        <v>3373.14</v>
      </c>
      <c r="I87" s="12" t="s">
        <v>17</v>
      </c>
      <c r="J87" s="12" t="str">
        <f>TEXT(Table2[[#This Row],[Date]],"mmm")</f>
        <v>Jul</v>
      </c>
      <c r="K87" s="22">
        <f>MONTH(Table2[[#This Row],[Date]])</f>
        <v>7</v>
      </c>
    </row>
    <row r="88" spans="1:11" x14ac:dyDescent="0.3">
      <c r="A88" s="11" t="s">
        <v>117</v>
      </c>
      <c r="B88" s="2">
        <v>45866</v>
      </c>
      <c r="C88" s="1" t="s">
        <v>40</v>
      </c>
      <c r="D88" s="1" t="s">
        <v>41</v>
      </c>
      <c r="E88" s="1" t="s">
        <v>48</v>
      </c>
      <c r="F88" s="1">
        <v>40</v>
      </c>
      <c r="G88" s="3">
        <v>34.82</v>
      </c>
      <c r="H88" s="3">
        <f t="shared" si="2"/>
        <v>1392.8</v>
      </c>
      <c r="I88" s="12" t="s">
        <v>22</v>
      </c>
      <c r="J88" s="12" t="str">
        <f>TEXT(Table2[[#This Row],[Date]],"mmm")</f>
        <v>Jul</v>
      </c>
      <c r="K88" s="22">
        <f>MONTH(Table2[[#This Row],[Date]])</f>
        <v>7</v>
      </c>
    </row>
    <row r="89" spans="1:11" x14ac:dyDescent="0.3">
      <c r="A89" s="11" t="s">
        <v>118</v>
      </c>
      <c r="B89" s="2">
        <v>45867</v>
      </c>
      <c r="C89" s="1" t="s">
        <v>40</v>
      </c>
      <c r="D89" s="1" t="s">
        <v>41</v>
      </c>
      <c r="E89" s="1" t="s">
        <v>12</v>
      </c>
      <c r="F89" s="1">
        <v>70</v>
      </c>
      <c r="G89" s="3">
        <v>32.26</v>
      </c>
      <c r="H89" s="3">
        <f t="shared" si="2"/>
        <v>2258.1999999999998</v>
      </c>
      <c r="I89" s="12" t="s">
        <v>13</v>
      </c>
      <c r="J89" s="12" t="str">
        <f>TEXT(Table2[[#This Row],[Date]],"mmm")</f>
        <v>Jul</v>
      </c>
      <c r="K89" s="22">
        <f>MONTH(Table2[[#This Row],[Date]])</f>
        <v>7</v>
      </c>
    </row>
    <row r="90" spans="1:11" x14ac:dyDescent="0.3">
      <c r="A90" s="11" t="s">
        <v>119</v>
      </c>
      <c r="B90" s="2">
        <v>45867</v>
      </c>
      <c r="C90" s="1" t="s">
        <v>25</v>
      </c>
      <c r="D90" s="1" t="s">
        <v>26</v>
      </c>
      <c r="E90" s="1" t="s">
        <v>28</v>
      </c>
      <c r="F90" s="1">
        <v>23</v>
      </c>
      <c r="G90" s="3">
        <v>72.900000000000006</v>
      </c>
      <c r="H90" s="3">
        <f t="shared" si="2"/>
        <v>1676.7</v>
      </c>
      <c r="I90" s="12" t="s">
        <v>13</v>
      </c>
      <c r="J90" s="12" t="str">
        <f>TEXT(Table2[[#This Row],[Date]],"mmm")</f>
        <v>Jul</v>
      </c>
      <c r="K90" s="22">
        <f>MONTH(Table2[[#This Row],[Date]])</f>
        <v>7</v>
      </c>
    </row>
    <row r="91" spans="1:11" x14ac:dyDescent="0.3">
      <c r="A91" s="11" t="s">
        <v>120</v>
      </c>
      <c r="B91" s="2">
        <v>45868</v>
      </c>
      <c r="C91" s="1" t="s">
        <v>15</v>
      </c>
      <c r="D91" s="1" t="s">
        <v>16</v>
      </c>
      <c r="E91" s="1" t="s">
        <v>45</v>
      </c>
      <c r="F91" s="1">
        <v>113</v>
      </c>
      <c r="G91" s="3">
        <v>17.989999999999998</v>
      </c>
      <c r="H91" s="3">
        <f t="shared" si="2"/>
        <v>2032.87</v>
      </c>
      <c r="I91" s="12" t="s">
        <v>13</v>
      </c>
      <c r="J91" s="12" t="str">
        <f>TEXT(Table2[[#This Row],[Date]],"mmm")</f>
        <v>Jul</v>
      </c>
      <c r="K91" s="22">
        <f>MONTH(Table2[[#This Row],[Date]])</f>
        <v>7</v>
      </c>
    </row>
    <row r="92" spans="1:11" x14ac:dyDescent="0.3">
      <c r="A92" s="11" t="s">
        <v>121</v>
      </c>
      <c r="B92" s="2">
        <v>45870</v>
      </c>
      <c r="C92" s="1" t="s">
        <v>15</v>
      </c>
      <c r="D92" s="1" t="s">
        <v>16</v>
      </c>
      <c r="E92" s="1" t="s">
        <v>48</v>
      </c>
      <c r="F92" s="1">
        <v>101</v>
      </c>
      <c r="G92" s="3">
        <v>19.61</v>
      </c>
      <c r="H92" s="3">
        <f t="shared" si="2"/>
        <v>1980.61</v>
      </c>
      <c r="I92" s="12" t="s">
        <v>13</v>
      </c>
      <c r="J92" s="12" t="str">
        <f>TEXT(Table2[[#This Row],[Date]],"mmm")</f>
        <v>Aug</v>
      </c>
      <c r="K92" s="22">
        <f>MONTH(Table2[[#This Row],[Date]])</f>
        <v>8</v>
      </c>
    </row>
    <row r="93" spans="1:11" x14ac:dyDescent="0.3">
      <c r="A93" s="11" t="s">
        <v>122</v>
      </c>
      <c r="B93" s="2">
        <v>45872</v>
      </c>
      <c r="C93" s="1" t="s">
        <v>33</v>
      </c>
      <c r="D93" s="1" t="s">
        <v>34</v>
      </c>
      <c r="E93" s="1" t="s">
        <v>12</v>
      </c>
      <c r="F93" s="1">
        <v>79</v>
      </c>
      <c r="G93" s="3">
        <v>31.08</v>
      </c>
      <c r="H93" s="3">
        <f t="shared" si="2"/>
        <v>2455.3199999999997</v>
      </c>
      <c r="I93" s="12" t="s">
        <v>17</v>
      </c>
      <c r="J93" s="12" t="str">
        <f>TEXT(Table2[[#This Row],[Date]],"mmm")</f>
        <v>Aug</v>
      </c>
      <c r="K93" s="22">
        <f>MONTH(Table2[[#This Row],[Date]])</f>
        <v>8</v>
      </c>
    </row>
    <row r="94" spans="1:11" x14ac:dyDescent="0.3">
      <c r="A94" s="11" t="s">
        <v>123</v>
      </c>
      <c r="B94" s="2">
        <v>45875</v>
      </c>
      <c r="C94" s="1" t="s">
        <v>15</v>
      </c>
      <c r="D94" s="1" t="s">
        <v>16</v>
      </c>
      <c r="E94" s="1" t="s">
        <v>48</v>
      </c>
      <c r="F94" s="1">
        <v>55</v>
      </c>
      <c r="G94" s="3">
        <v>19.63</v>
      </c>
      <c r="H94" s="3">
        <f t="shared" si="2"/>
        <v>1079.6499999999999</v>
      </c>
      <c r="I94" s="12" t="s">
        <v>13</v>
      </c>
      <c r="J94" s="12" t="str">
        <f>TEXT(Table2[[#This Row],[Date]],"mmm")</f>
        <v>Aug</v>
      </c>
      <c r="K94" s="22">
        <f>MONTH(Table2[[#This Row],[Date]])</f>
        <v>8</v>
      </c>
    </row>
    <row r="95" spans="1:11" x14ac:dyDescent="0.3">
      <c r="A95" s="11" t="s">
        <v>124</v>
      </c>
      <c r="B95" s="2">
        <v>45881</v>
      </c>
      <c r="C95" s="1" t="s">
        <v>33</v>
      </c>
      <c r="D95" s="1" t="s">
        <v>34</v>
      </c>
      <c r="E95" s="1" t="s">
        <v>30</v>
      </c>
      <c r="F95" s="1">
        <v>24</v>
      </c>
      <c r="G95" s="3">
        <v>28.76</v>
      </c>
      <c r="H95" s="3">
        <f t="shared" si="2"/>
        <v>690.24</v>
      </c>
      <c r="I95" s="12" t="s">
        <v>22</v>
      </c>
      <c r="J95" s="12" t="str">
        <f>TEXT(Table2[[#This Row],[Date]],"mmm")</f>
        <v>Aug</v>
      </c>
      <c r="K95" s="22">
        <f>MONTH(Table2[[#This Row],[Date]])</f>
        <v>8</v>
      </c>
    </row>
    <row r="96" spans="1:11" x14ac:dyDescent="0.3">
      <c r="A96" s="11" t="s">
        <v>125</v>
      </c>
      <c r="B96" s="2">
        <v>45883</v>
      </c>
      <c r="C96" s="1" t="s">
        <v>19</v>
      </c>
      <c r="D96" s="1" t="s">
        <v>20</v>
      </c>
      <c r="E96" s="1" t="s">
        <v>12</v>
      </c>
      <c r="F96" s="1">
        <v>40</v>
      </c>
      <c r="G96" s="3">
        <v>14.06</v>
      </c>
      <c r="H96" s="3">
        <f t="shared" si="2"/>
        <v>562.4</v>
      </c>
      <c r="I96" s="12" t="s">
        <v>13</v>
      </c>
      <c r="J96" s="12" t="str">
        <f>TEXT(Table2[[#This Row],[Date]],"mmm")</f>
        <v>Aug</v>
      </c>
      <c r="K96" s="22">
        <f>MONTH(Table2[[#This Row],[Date]])</f>
        <v>8</v>
      </c>
    </row>
    <row r="97" spans="1:11" x14ac:dyDescent="0.3">
      <c r="A97" s="11" t="s">
        <v>126</v>
      </c>
      <c r="B97" s="2">
        <v>45884</v>
      </c>
      <c r="C97" s="1" t="s">
        <v>40</v>
      </c>
      <c r="D97" s="1" t="s">
        <v>41</v>
      </c>
      <c r="E97" s="1" t="s">
        <v>12</v>
      </c>
      <c r="F97" s="1">
        <v>75</v>
      </c>
      <c r="G97" s="3">
        <v>33.43</v>
      </c>
      <c r="H97" s="3">
        <f t="shared" si="2"/>
        <v>2507.25</v>
      </c>
      <c r="I97" s="12" t="s">
        <v>42</v>
      </c>
      <c r="J97" s="12" t="str">
        <f>TEXT(Table2[[#This Row],[Date]],"mmm")</f>
        <v>Aug</v>
      </c>
      <c r="K97" s="22">
        <f>MONTH(Table2[[#This Row],[Date]])</f>
        <v>8</v>
      </c>
    </row>
    <row r="98" spans="1:11" x14ac:dyDescent="0.3">
      <c r="A98" s="11" t="s">
        <v>127</v>
      </c>
      <c r="B98" s="2">
        <v>45884</v>
      </c>
      <c r="C98" s="1" t="s">
        <v>33</v>
      </c>
      <c r="D98" s="1" t="s">
        <v>34</v>
      </c>
      <c r="E98" s="1" t="s">
        <v>45</v>
      </c>
      <c r="F98" s="1">
        <v>74</v>
      </c>
      <c r="G98" s="3">
        <v>28.99</v>
      </c>
      <c r="H98" s="3">
        <f t="shared" ref="H98:H129" si="3">F98*G98</f>
        <v>2145.2599999999998</v>
      </c>
      <c r="I98" s="12" t="s">
        <v>42</v>
      </c>
      <c r="J98" s="12" t="str">
        <f>TEXT(Table2[[#This Row],[Date]],"mmm")</f>
        <v>Aug</v>
      </c>
      <c r="K98" s="22">
        <f>MONTH(Table2[[#This Row],[Date]])</f>
        <v>8</v>
      </c>
    </row>
    <row r="99" spans="1:11" x14ac:dyDescent="0.3">
      <c r="A99" s="11" t="s">
        <v>128</v>
      </c>
      <c r="B99" s="2">
        <v>45884</v>
      </c>
      <c r="C99" s="1" t="s">
        <v>25</v>
      </c>
      <c r="D99" s="1" t="s">
        <v>26</v>
      </c>
      <c r="E99" s="1" t="s">
        <v>45</v>
      </c>
      <c r="F99" s="1">
        <v>64</v>
      </c>
      <c r="G99" s="3">
        <v>65.72</v>
      </c>
      <c r="H99" s="3">
        <f t="shared" si="3"/>
        <v>4206.08</v>
      </c>
      <c r="I99" s="12" t="s">
        <v>22</v>
      </c>
      <c r="J99" s="12" t="str">
        <f>TEXT(Table2[[#This Row],[Date]],"mmm")</f>
        <v>Aug</v>
      </c>
      <c r="K99" s="22">
        <f>MONTH(Table2[[#This Row],[Date]])</f>
        <v>8</v>
      </c>
    </row>
    <row r="100" spans="1:11" x14ac:dyDescent="0.3">
      <c r="A100" s="11" t="s">
        <v>129</v>
      </c>
      <c r="B100" s="2">
        <v>45886</v>
      </c>
      <c r="C100" s="1" t="s">
        <v>10</v>
      </c>
      <c r="D100" s="1" t="s">
        <v>11</v>
      </c>
      <c r="E100" s="1" t="s">
        <v>12</v>
      </c>
      <c r="F100" s="1">
        <v>70</v>
      </c>
      <c r="G100" s="3">
        <v>49.92</v>
      </c>
      <c r="H100" s="3">
        <f t="shared" si="3"/>
        <v>3494.4</v>
      </c>
      <c r="I100" s="12" t="s">
        <v>17</v>
      </c>
      <c r="J100" s="12" t="str">
        <f>TEXT(Table2[[#This Row],[Date]],"mmm")</f>
        <v>Aug</v>
      </c>
      <c r="K100" s="22">
        <f>MONTH(Table2[[#This Row],[Date]])</f>
        <v>8</v>
      </c>
    </row>
    <row r="101" spans="1:11" x14ac:dyDescent="0.3">
      <c r="A101" s="11" t="s">
        <v>130</v>
      </c>
      <c r="B101" s="2">
        <v>45889</v>
      </c>
      <c r="C101" s="1" t="s">
        <v>19</v>
      </c>
      <c r="D101" s="1" t="s">
        <v>20</v>
      </c>
      <c r="E101" s="1" t="s">
        <v>21</v>
      </c>
      <c r="F101" s="1">
        <v>18</v>
      </c>
      <c r="G101" s="3">
        <v>14.25</v>
      </c>
      <c r="H101" s="3">
        <f t="shared" si="3"/>
        <v>256.5</v>
      </c>
      <c r="I101" s="12" t="s">
        <v>22</v>
      </c>
      <c r="J101" s="12" t="str">
        <f>TEXT(Table2[[#This Row],[Date]],"mmm")</f>
        <v>Aug</v>
      </c>
      <c r="K101" s="22">
        <f>MONTH(Table2[[#This Row],[Date]])</f>
        <v>8</v>
      </c>
    </row>
    <row r="102" spans="1:11" x14ac:dyDescent="0.3">
      <c r="A102" s="11" t="s">
        <v>131</v>
      </c>
      <c r="B102" s="2">
        <v>45890</v>
      </c>
      <c r="C102" s="1" t="s">
        <v>25</v>
      </c>
      <c r="D102" s="1" t="s">
        <v>26</v>
      </c>
      <c r="E102" s="1" t="s">
        <v>28</v>
      </c>
      <c r="F102" s="1">
        <v>103</v>
      </c>
      <c r="G102" s="3">
        <v>74.69</v>
      </c>
      <c r="H102" s="3">
        <f t="shared" si="3"/>
        <v>7693.07</v>
      </c>
      <c r="I102" s="12" t="s">
        <v>22</v>
      </c>
      <c r="J102" s="12" t="str">
        <f>TEXT(Table2[[#This Row],[Date]],"mmm")</f>
        <v>Aug</v>
      </c>
      <c r="K102" s="22">
        <f>MONTH(Table2[[#This Row],[Date]])</f>
        <v>8</v>
      </c>
    </row>
    <row r="103" spans="1:11" x14ac:dyDescent="0.3">
      <c r="A103" s="11" t="s">
        <v>132</v>
      </c>
      <c r="B103" s="2">
        <v>45890</v>
      </c>
      <c r="C103" s="1" t="s">
        <v>19</v>
      </c>
      <c r="D103" s="1" t="s">
        <v>20</v>
      </c>
      <c r="E103" s="1" t="s">
        <v>28</v>
      </c>
      <c r="F103" s="1">
        <v>51</v>
      </c>
      <c r="G103" s="3">
        <v>13.62</v>
      </c>
      <c r="H103" s="3">
        <f t="shared" si="3"/>
        <v>694.62</v>
      </c>
      <c r="I103" s="12" t="s">
        <v>17</v>
      </c>
      <c r="J103" s="12" t="str">
        <f>TEXT(Table2[[#This Row],[Date]],"mmm")</f>
        <v>Aug</v>
      </c>
      <c r="K103" s="22">
        <f>MONTH(Table2[[#This Row],[Date]])</f>
        <v>8</v>
      </c>
    </row>
    <row r="104" spans="1:11" x14ac:dyDescent="0.3">
      <c r="A104" s="11" t="s">
        <v>133</v>
      </c>
      <c r="B104" s="2">
        <v>45893</v>
      </c>
      <c r="C104" s="1" t="s">
        <v>25</v>
      </c>
      <c r="D104" s="1" t="s">
        <v>26</v>
      </c>
      <c r="E104" s="1" t="s">
        <v>28</v>
      </c>
      <c r="F104" s="1">
        <v>111</v>
      </c>
      <c r="G104" s="3">
        <v>73.08</v>
      </c>
      <c r="H104" s="3">
        <f t="shared" si="3"/>
        <v>8111.88</v>
      </c>
      <c r="I104" s="12" t="s">
        <v>13</v>
      </c>
      <c r="J104" s="12" t="str">
        <f>TEXT(Table2[[#This Row],[Date]],"mmm")</f>
        <v>Aug</v>
      </c>
      <c r="K104" s="22">
        <f>MONTH(Table2[[#This Row],[Date]])</f>
        <v>8</v>
      </c>
    </row>
    <row r="105" spans="1:11" x14ac:dyDescent="0.3">
      <c r="A105" s="11" t="s">
        <v>134</v>
      </c>
      <c r="B105" s="2">
        <v>45895</v>
      </c>
      <c r="C105" s="1" t="s">
        <v>15</v>
      </c>
      <c r="D105" s="1" t="s">
        <v>16</v>
      </c>
      <c r="E105" s="1" t="s">
        <v>48</v>
      </c>
      <c r="F105" s="1">
        <v>81</v>
      </c>
      <c r="G105" s="3">
        <v>19.239999999999998</v>
      </c>
      <c r="H105" s="3">
        <f t="shared" si="3"/>
        <v>1558.4399999999998</v>
      </c>
      <c r="I105" s="12" t="s">
        <v>42</v>
      </c>
      <c r="J105" s="12" t="str">
        <f>TEXT(Table2[[#This Row],[Date]],"mmm")</f>
        <v>Aug</v>
      </c>
      <c r="K105" s="22">
        <f>MONTH(Table2[[#This Row],[Date]])</f>
        <v>8</v>
      </c>
    </row>
    <row r="106" spans="1:11" x14ac:dyDescent="0.3">
      <c r="A106" s="11" t="s">
        <v>135</v>
      </c>
      <c r="B106" s="2">
        <v>45900</v>
      </c>
      <c r="C106" s="1" t="s">
        <v>10</v>
      </c>
      <c r="D106" s="1" t="s">
        <v>11</v>
      </c>
      <c r="E106" s="1" t="s">
        <v>12</v>
      </c>
      <c r="F106" s="1">
        <v>113</v>
      </c>
      <c r="G106" s="3">
        <v>49.51</v>
      </c>
      <c r="H106" s="3">
        <f t="shared" si="3"/>
        <v>5594.63</v>
      </c>
      <c r="I106" s="12" t="s">
        <v>13</v>
      </c>
      <c r="J106" s="12" t="str">
        <f>TEXT(Table2[[#This Row],[Date]],"mmm")</f>
        <v>Aug</v>
      </c>
      <c r="K106" s="22">
        <f>MONTH(Table2[[#This Row],[Date]])</f>
        <v>8</v>
      </c>
    </row>
    <row r="107" spans="1:11" x14ac:dyDescent="0.3">
      <c r="A107" s="11" t="s">
        <v>136</v>
      </c>
      <c r="B107" s="2">
        <v>45900</v>
      </c>
      <c r="C107" s="1" t="s">
        <v>15</v>
      </c>
      <c r="D107" s="1" t="s">
        <v>16</v>
      </c>
      <c r="E107" s="1" t="s">
        <v>21</v>
      </c>
      <c r="F107" s="1">
        <v>37</v>
      </c>
      <c r="G107" s="3">
        <v>18.77</v>
      </c>
      <c r="H107" s="3">
        <f t="shared" si="3"/>
        <v>694.49</v>
      </c>
      <c r="I107" s="12" t="s">
        <v>13</v>
      </c>
      <c r="J107" s="12" t="str">
        <f>TEXT(Table2[[#This Row],[Date]],"mmm")</f>
        <v>Aug</v>
      </c>
      <c r="K107" s="22">
        <f>MONTH(Table2[[#This Row],[Date]])</f>
        <v>8</v>
      </c>
    </row>
    <row r="108" spans="1:11" x14ac:dyDescent="0.3">
      <c r="A108" s="11" t="s">
        <v>137</v>
      </c>
      <c r="B108" s="2">
        <v>45906</v>
      </c>
      <c r="C108" s="1" t="s">
        <v>10</v>
      </c>
      <c r="D108" s="1" t="s">
        <v>11</v>
      </c>
      <c r="E108" s="1" t="s">
        <v>48</v>
      </c>
      <c r="F108" s="1">
        <v>102</v>
      </c>
      <c r="G108" s="3">
        <v>54.58</v>
      </c>
      <c r="H108" s="3">
        <f t="shared" si="3"/>
        <v>5567.16</v>
      </c>
      <c r="I108" s="12" t="s">
        <v>22</v>
      </c>
      <c r="J108" s="12" t="str">
        <f>TEXT(Table2[[#This Row],[Date]],"mmm")</f>
        <v>Sep</v>
      </c>
      <c r="K108" s="22">
        <f>MONTH(Table2[[#This Row],[Date]])</f>
        <v>9</v>
      </c>
    </row>
    <row r="109" spans="1:11" x14ac:dyDescent="0.3">
      <c r="A109" s="11" t="s">
        <v>138</v>
      </c>
      <c r="B109" s="2">
        <v>45907</v>
      </c>
      <c r="C109" s="1" t="s">
        <v>10</v>
      </c>
      <c r="D109" s="1" t="s">
        <v>11</v>
      </c>
      <c r="E109" s="1" t="s">
        <v>21</v>
      </c>
      <c r="F109" s="1">
        <v>37</v>
      </c>
      <c r="G109" s="3">
        <v>54.9</v>
      </c>
      <c r="H109" s="3">
        <f t="shared" si="3"/>
        <v>2031.3</v>
      </c>
      <c r="I109" s="12" t="s">
        <v>22</v>
      </c>
      <c r="J109" s="12" t="str">
        <f>TEXT(Table2[[#This Row],[Date]],"mmm")</f>
        <v>Sep</v>
      </c>
      <c r="K109" s="22">
        <f>MONTH(Table2[[#This Row],[Date]])</f>
        <v>9</v>
      </c>
    </row>
    <row r="110" spans="1:11" x14ac:dyDescent="0.3">
      <c r="A110" s="11" t="s">
        <v>139</v>
      </c>
      <c r="B110" s="2">
        <v>45907</v>
      </c>
      <c r="C110" s="1" t="s">
        <v>10</v>
      </c>
      <c r="D110" s="1" t="s">
        <v>11</v>
      </c>
      <c r="E110" s="1" t="s">
        <v>21</v>
      </c>
      <c r="F110" s="1">
        <v>72</v>
      </c>
      <c r="G110" s="3">
        <v>45.88</v>
      </c>
      <c r="H110" s="3">
        <f t="shared" si="3"/>
        <v>3303.36</v>
      </c>
      <c r="I110" s="12" t="s">
        <v>13</v>
      </c>
      <c r="J110" s="12" t="str">
        <f>TEXT(Table2[[#This Row],[Date]],"mmm")</f>
        <v>Sep</v>
      </c>
      <c r="K110" s="22">
        <f>MONTH(Table2[[#This Row],[Date]])</f>
        <v>9</v>
      </c>
    </row>
    <row r="111" spans="1:11" x14ac:dyDescent="0.3">
      <c r="A111" s="11" t="s">
        <v>140</v>
      </c>
      <c r="B111" s="2">
        <v>45907</v>
      </c>
      <c r="C111" s="1" t="s">
        <v>10</v>
      </c>
      <c r="D111" s="1" t="s">
        <v>11</v>
      </c>
      <c r="E111" s="1" t="s">
        <v>28</v>
      </c>
      <c r="F111" s="1">
        <v>43</v>
      </c>
      <c r="G111" s="3">
        <v>48.87</v>
      </c>
      <c r="H111" s="3">
        <f t="shared" si="3"/>
        <v>2101.41</v>
      </c>
      <c r="I111" s="12" t="s">
        <v>17</v>
      </c>
      <c r="J111" s="12" t="str">
        <f>TEXT(Table2[[#This Row],[Date]],"mmm")</f>
        <v>Sep</v>
      </c>
      <c r="K111" s="22">
        <f>MONTH(Table2[[#This Row],[Date]])</f>
        <v>9</v>
      </c>
    </row>
    <row r="112" spans="1:11" x14ac:dyDescent="0.3">
      <c r="A112" s="11" t="s">
        <v>141</v>
      </c>
      <c r="B112" s="2">
        <v>45909</v>
      </c>
      <c r="C112" s="1" t="s">
        <v>40</v>
      </c>
      <c r="D112" s="1" t="s">
        <v>41</v>
      </c>
      <c r="E112" s="1" t="s">
        <v>45</v>
      </c>
      <c r="F112" s="1">
        <v>21</v>
      </c>
      <c r="G112" s="3">
        <v>32.28</v>
      </c>
      <c r="H112" s="3">
        <f t="shared" si="3"/>
        <v>677.88</v>
      </c>
      <c r="I112" s="12" t="s">
        <v>13</v>
      </c>
      <c r="J112" s="12" t="str">
        <f>TEXT(Table2[[#This Row],[Date]],"mmm")</f>
        <v>Sep</v>
      </c>
      <c r="K112" s="22">
        <f>MONTH(Table2[[#This Row],[Date]])</f>
        <v>9</v>
      </c>
    </row>
    <row r="113" spans="1:11" x14ac:dyDescent="0.3">
      <c r="A113" s="11" t="s">
        <v>142</v>
      </c>
      <c r="B113" s="2">
        <v>45909</v>
      </c>
      <c r="C113" s="1" t="s">
        <v>19</v>
      </c>
      <c r="D113" s="1" t="s">
        <v>20</v>
      </c>
      <c r="E113" s="1" t="s">
        <v>48</v>
      </c>
      <c r="F113" s="1">
        <v>97</v>
      </c>
      <c r="G113" s="3">
        <v>13.45</v>
      </c>
      <c r="H113" s="3">
        <f t="shared" si="3"/>
        <v>1304.6499999999999</v>
      </c>
      <c r="I113" s="12" t="s">
        <v>13</v>
      </c>
      <c r="J113" s="12" t="str">
        <f>TEXT(Table2[[#This Row],[Date]],"mmm")</f>
        <v>Sep</v>
      </c>
      <c r="K113" s="22">
        <f>MONTH(Table2[[#This Row],[Date]])</f>
        <v>9</v>
      </c>
    </row>
    <row r="114" spans="1:11" x14ac:dyDescent="0.3">
      <c r="A114" s="11" t="s">
        <v>143</v>
      </c>
      <c r="B114" s="2">
        <v>45917</v>
      </c>
      <c r="C114" s="1" t="s">
        <v>25</v>
      </c>
      <c r="D114" s="1" t="s">
        <v>26</v>
      </c>
      <c r="E114" s="1" t="s">
        <v>45</v>
      </c>
      <c r="F114" s="1">
        <v>46</v>
      </c>
      <c r="G114" s="3">
        <v>71.19</v>
      </c>
      <c r="H114" s="3">
        <f t="shared" si="3"/>
        <v>3274.74</v>
      </c>
      <c r="I114" s="12" t="s">
        <v>17</v>
      </c>
      <c r="J114" s="12" t="str">
        <f>TEXT(Table2[[#This Row],[Date]],"mmm")</f>
        <v>Sep</v>
      </c>
      <c r="K114" s="22">
        <f>MONTH(Table2[[#This Row],[Date]])</f>
        <v>9</v>
      </c>
    </row>
    <row r="115" spans="1:11" x14ac:dyDescent="0.3">
      <c r="A115" s="11" t="s">
        <v>144</v>
      </c>
      <c r="B115" s="2">
        <v>45921</v>
      </c>
      <c r="C115" s="1" t="s">
        <v>19</v>
      </c>
      <c r="D115" s="1" t="s">
        <v>20</v>
      </c>
      <c r="E115" s="1" t="s">
        <v>48</v>
      </c>
      <c r="F115" s="1">
        <v>79</v>
      </c>
      <c r="G115" s="3">
        <v>14.59</v>
      </c>
      <c r="H115" s="3">
        <f t="shared" si="3"/>
        <v>1152.6099999999999</v>
      </c>
      <c r="I115" s="12" t="s">
        <v>13</v>
      </c>
      <c r="J115" s="12" t="str">
        <f>TEXT(Table2[[#This Row],[Date]],"mmm")</f>
        <v>Sep</v>
      </c>
      <c r="K115" s="22">
        <f>MONTH(Table2[[#This Row],[Date]])</f>
        <v>9</v>
      </c>
    </row>
    <row r="116" spans="1:11" x14ac:dyDescent="0.3">
      <c r="A116" s="11" t="s">
        <v>145</v>
      </c>
      <c r="B116" s="2">
        <v>45923</v>
      </c>
      <c r="C116" s="1" t="s">
        <v>25</v>
      </c>
      <c r="D116" s="1" t="s">
        <v>26</v>
      </c>
      <c r="E116" s="1" t="s">
        <v>48</v>
      </c>
      <c r="F116" s="1">
        <v>73</v>
      </c>
      <c r="G116" s="3">
        <v>69.88</v>
      </c>
      <c r="H116" s="3">
        <f t="shared" si="3"/>
        <v>5101.24</v>
      </c>
      <c r="I116" s="12" t="s">
        <v>17</v>
      </c>
      <c r="J116" s="12" t="str">
        <f>TEXT(Table2[[#This Row],[Date]],"mmm")</f>
        <v>Sep</v>
      </c>
      <c r="K116" s="22">
        <f>MONTH(Table2[[#This Row],[Date]])</f>
        <v>9</v>
      </c>
    </row>
    <row r="117" spans="1:11" x14ac:dyDescent="0.3">
      <c r="A117" s="11" t="s">
        <v>146</v>
      </c>
      <c r="B117" s="2">
        <v>45926</v>
      </c>
      <c r="C117" s="1" t="s">
        <v>33</v>
      </c>
      <c r="D117" s="1" t="s">
        <v>34</v>
      </c>
      <c r="E117" s="1" t="s">
        <v>28</v>
      </c>
      <c r="F117" s="1">
        <v>22</v>
      </c>
      <c r="G117" s="3">
        <v>31.26</v>
      </c>
      <c r="H117" s="3">
        <f t="shared" si="3"/>
        <v>687.72</v>
      </c>
      <c r="I117" s="12" t="s">
        <v>13</v>
      </c>
      <c r="J117" s="12" t="str">
        <f>TEXT(Table2[[#This Row],[Date]],"mmm")</f>
        <v>Sep</v>
      </c>
      <c r="K117" s="22">
        <f>MONTH(Table2[[#This Row],[Date]])</f>
        <v>9</v>
      </c>
    </row>
    <row r="118" spans="1:11" x14ac:dyDescent="0.3">
      <c r="A118" s="11" t="s">
        <v>147</v>
      </c>
      <c r="B118" s="2">
        <v>45929</v>
      </c>
      <c r="C118" s="1" t="s">
        <v>10</v>
      </c>
      <c r="D118" s="1" t="s">
        <v>11</v>
      </c>
      <c r="E118" s="1" t="s">
        <v>21</v>
      </c>
      <c r="F118" s="1">
        <v>75</v>
      </c>
      <c r="G118" s="3">
        <v>46.37</v>
      </c>
      <c r="H118" s="3">
        <f t="shared" si="3"/>
        <v>3477.75</v>
      </c>
      <c r="I118" s="12" t="s">
        <v>13</v>
      </c>
      <c r="J118" s="12" t="str">
        <f>TEXT(Table2[[#This Row],[Date]],"mmm")</f>
        <v>Sep</v>
      </c>
      <c r="K118" s="22">
        <f>MONTH(Table2[[#This Row],[Date]])</f>
        <v>9</v>
      </c>
    </row>
    <row r="119" spans="1:11" x14ac:dyDescent="0.3">
      <c r="A119" s="11" t="s">
        <v>148</v>
      </c>
      <c r="B119" s="2">
        <v>45933</v>
      </c>
      <c r="C119" s="1" t="s">
        <v>40</v>
      </c>
      <c r="D119" s="1" t="s">
        <v>41</v>
      </c>
      <c r="E119" s="1" t="s">
        <v>28</v>
      </c>
      <c r="F119" s="1">
        <v>115</v>
      </c>
      <c r="G119" s="3">
        <v>35.08</v>
      </c>
      <c r="H119" s="3">
        <f t="shared" si="3"/>
        <v>4034.2</v>
      </c>
      <c r="I119" s="12" t="s">
        <v>13</v>
      </c>
      <c r="J119" s="12" t="str">
        <f>TEXT(Table2[[#This Row],[Date]],"mmm")</f>
        <v>Oct</v>
      </c>
      <c r="K119" s="22">
        <f>MONTH(Table2[[#This Row],[Date]])</f>
        <v>10</v>
      </c>
    </row>
    <row r="120" spans="1:11" x14ac:dyDescent="0.3">
      <c r="A120" s="11" t="s">
        <v>149</v>
      </c>
      <c r="B120" s="2">
        <v>45934</v>
      </c>
      <c r="C120" s="1" t="s">
        <v>33</v>
      </c>
      <c r="D120" s="1" t="s">
        <v>34</v>
      </c>
      <c r="E120" s="1" t="s">
        <v>30</v>
      </c>
      <c r="F120" s="1">
        <v>86</v>
      </c>
      <c r="G120" s="3">
        <v>28.42</v>
      </c>
      <c r="H120" s="3">
        <f t="shared" si="3"/>
        <v>2444.1200000000003</v>
      </c>
      <c r="I120" s="12" t="s">
        <v>13</v>
      </c>
      <c r="J120" s="12" t="str">
        <f>TEXT(Table2[[#This Row],[Date]],"mmm")</f>
        <v>Oct</v>
      </c>
      <c r="K120" s="22">
        <f>MONTH(Table2[[#This Row],[Date]])</f>
        <v>10</v>
      </c>
    </row>
    <row r="121" spans="1:11" x14ac:dyDescent="0.3">
      <c r="A121" s="11" t="s">
        <v>150</v>
      </c>
      <c r="B121" s="2">
        <v>45934</v>
      </c>
      <c r="C121" s="1" t="s">
        <v>19</v>
      </c>
      <c r="D121" s="1" t="s">
        <v>20</v>
      </c>
      <c r="E121" s="1" t="s">
        <v>21</v>
      </c>
      <c r="F121" s="1">
        <v>39</v>
      </c>
      <c r="G121" s="3">
        <v>14.37</v>
      </c>
      <c r="H121" s="3">
        <f t="shared" si="3"/>
        <v>560.42999999999995</v>
      </c>
      <c r="I121" s="12" t="s">
        <v>13</v>
      </c>
      <c r="J121" s="12" t="str">
        <f>TEXT(Table2[[#This Row],[Date]],"mmm")</f>
        <v>Oct</v>
      </c>
      <c r="K121" s="22">
        <f>MONTH(Table2[[#This Row],[Date]])</f>
        <v>10</v>
      </c>
    </row>
    <row r="122" spans="1:11" x14ac:dyDescent="0.3">
      <c r="A122" s="11" t="s">
        <v>151</v>
      </c>
      <c r="B122" s="2">
        <v>45934</v>
      </c>
      <c r="C122" s="1" t="s">
        <v>40</v>
      </c>
      <c r="D122" s="1" t="s">
        <v>41</v>
      </c>
      <c r="E122" s="1" t="s">
        <v>28</v>
      </c>
      <c r="F122" s="1">
        <v>86</v>
      </c>
      <c r="G122" s="3">
        <v>30.66</v>
      </c>
      <c r="H122" s="3">
        <f t="shared" si="3"/>
        <v>2636.76</v>
      </c>
      <c r="I122" s="12" t="s">
        <v>13</v>
      </c>
      <c r="J122" s="12" t="str">
        <f>TEXT(Table2[[#This Row],[Date]],"mmm")</f>
        <v>Oct</v>
      </c>
      <c r="K122" s="22">
        <f>MONTH(Table2[[#This Row],[Date]])</f>
        <v>10</v>
      </c>
    </row>
    <row r="123" spans="1:11" x14ac:dyDescent="0.3">
      <c r="A123" s="11" t="s">
        <v>152</v>
      </c>
      <c r="B123" s="2">
        <v>45935</v>
      </c>
      <c r="C123" s="1" t="s">
        <v>19</v>
      </c>
      <c r="D123" s="1" t="s">
        <v>20</v>
      </c>
      <c r="E123" s="1" t="s">
        <v>12</v>
      </c>
      <c r="F123" s="1">
        <v>17</v>
      </c>
      <c r="G123" s="3">
        <v>13.44</v>
      </c>
      <c r="H123" s="3">
        <f t="shared" si="3"/>
        <v>228.48</v>
      </c>
      <c r="I123" s="12" t="s">
        <v>13</v>
      </c>
      <c r="J123" s="12" t="str">
        <f>TEXT(Table2[[#This Row],[Date]],"mmm")</f>
        <v>Oct</v>
      </c>
      <c r="K123" s="22">
        <f>MONTH(Table2[[#This Row],[Date]])</f>
        <v>10</v>
      </c>
    </row>
    <row r="124" spans="1:11" x14ac:dyDescent="0.3">
      <c r="A124" s="11" t="s">
        <v>153</v>
      </c>
      <c r="B124" s="2">
        <v>45936</v>
      </c>
      <c r="C124" s="1" t="s">
        <v>10</v>
      </c>
      <c r="D124" s="1" t="s">
        <v>11</v>
      </c>
      <c r="E124" s="1" t="s">
        <v>48</v>
      </c>
      <c r="F124" s="1">
        <v>44</v>
      </c>
      <c r="G124" s="3">
        <v>53.54</v>
      </c>
      <c r="H124" s="3">
        <f t="shared" si="3"/>
        <v>2355.7599999999998</v>
      </c>
      <c r="I124" s="12" t="s">
        <v>13</v>
      </c>
      <c r="J124" s="12" t="str">
        <f>TEXT(Table2[[#This Row],[Date]],"mmm")</f>
        <v>Oct</v>
      </c>
      <c r="K124" s="22">
        <f>MONTH(Table2[[#This Row],[Date]])</f>
        <v>10</v>
      </c>
    </row>
    <row r="125" spans="1:11" x14ac:dyDescent="0.3">
      <c r="A125" s="11" t="s">
        <v>154</v>
      </c>
      <c r="B125" s="2">
        <v>45939</v>
      </c>
      <c r="C125" s="1" t="s">
        <v>19</v>
      </c>
      <c r="D125" s="1" t="s">
        <v>20</v>
      </c>
      <c r="E125" s="1" t="s">
        <v>21</v>
      </c>
      <c r="F125" s="1">
        <v>79</v>
      </c>
      <c r="G125" s="3">
        <v>15.64</v>
      </c>
      <c r="H125" s="3">
        <f t="shared" si="3"/>
        <v>1235.56</v>
      </c>
      <c r="I125" s="12" t="s">
        <v>42</v>
      </c>
      <c r="J125" s="12" t="str">
        <f>TEXT(Table2[[#This Row],[Date]],"mmm")</f>
        <v>Oct</v>
      </c>
      <c r="K125" s="22">
        <f>MONTH(Table2[[#This Row],[Date]])</f>
        <v>10</v>
      </c>
    </row>
    <row r="126" spans="1:11" x14ac:dyDescent="0.3">
      <c r="A126" s="11" t="s">
        <v>155</v>
      </c>
      <c r="B126" s="2">
        <v>45940</v>
      </c>
      <c r="C126" s="1" t="s">
        <v>10</v>
      </c>
      <c r="D126" s="1" t="s">
        <v>11</v>
      </c>
      <c r="E126" s="1" t="s">
        <v>28</v>
      </c>
      <c r="F126" s="1">
        <v>15</v>
      </c>
      <c r="G126" s="3">
        <v>48.56</v>
      </c>
      <c r="H126" s="3">
        <f t="shared" si="3"/>
        <v>728.40000000000009</v>
      </c>
      <c r="I126" s="12" t="s">
        <v>17</v>
      </c>
      <c r="J126" s="12" t="str">
        <f>TEXT(Table2[[#This Row],[Date]],"mmm")</f>
        <v>Oct</v>
      </c>
      <c r="K126" s="22">
        <f>MONTH(Table2[[#This Row],[Date]])</f>
        <v>10</v>
      </c>
    </row>
    <row r="127" spans="1:11" x14ac:dyDescent="0.3">
      <c r="A127" s="11" t="s">
        <v>156</v>
      </c>
      <c r="B127" s="2">
        <v>45941</v>
      </c>
      <c r="C127" s="1" t="s">
        <v>10</v>
      </c>
      <c r="D127" s="1" t="s">
        <v>11</v>
      </c>
      <c r="E127" s="1" t="s">
        <v>21</v>
      </c>
      <c r="F127" s="1">
        <v>95</v>
      </c>
      <c r="G127" s="3">
        <v>54.63</v>
      </c>
      <c r="H127" s="3">
        <f t="shared" si="3"/>
        <v>5189.8500000000004</v>
      </c>
      <c r="I127" s="12" t="s">
        <v>22</v>
      </c>
      <c r="J127" s="12" t="str">
        <f>TEXT(Table2[[#This Row],[Date]],"mmm")</f>
        <v>Oct</v>
      </c>
      <c r="K127" s="22">
        <f>MONTH(Table2[[#This Row],[Date]])</f>
        <v>10</v>
      </c>
    </row>
    <row r="128" spans="1:11" x14ac:dyDescent="0.3">
      <c r="A128" s="11" t="s">
        <v>157</v>
      </c>
      <c r="B128" s="2">
        <v>45944</v>
      </c>
      <c r="C128" s="1" t="s">
        <v>40</v>
      </c>
      <c r="D128" s="1" t="s">
        <v>41</v>
      </c>
      <c r="E128" s="1" t="s">
        <v>30</v>
      </c>
      <c r="F128" s="1">
        <v>105</v>
      </c>
      <c r="G128" s="3">
        <v>31.39</v>
      </c>
      <c r="H128" s="3">
        <f t="shared" si="3"/>
        <v>3295.9500000000003</v>
      </c>
      <c r="I128" s="12" t="s">
        <v>42</v>
      </c>
      <c r="J128" s="12" t="str">
        <f>TEXT(Table2[[#This Row],[Date]],"mmm")</f>
        <v>Oct</v>
      </c>
      <c r="K128" s="22">
        <f>MONTH(Table2[[#This Row],[Date]])</f>
        <v>10</v>
      </c>
    </row>
    <row r="129" spans="1:11" x14ac:dyDescent="0.3">
      <c r="A129" s="11" t="s">
        <v>158</v>
      </c>
      <c r="B129" s="2">
        <v>45946</v>
      </c>
      <c r="C129" s="1" t="s">
        <v>25</v>
      </c>
      <c r="D129" s="1" t="s">
        <v>26</v>
      </c>
      <c r="E129" s="1" t="s">
        <v>21</v>
      </c>
      <c r="F129" s="1">
        <v>41</v>
      </c>
      <c r="G129" s="3">
        <v>63.29</v>
      </c>
      <c r="H129" s="3">
        <f t="shared" si="3"/>
        <v>2594.89</v>
      </c>
      <c r="I129" s="12" t="s">
        <v>17</v>
      </c>
      <c r="J129" s="12" t="str">
        <f>TEXT(Table2[[#This Row],[Date]],"mmm")</f>
        <v>Oct</v>
      </c>
      <c r="K129" s="22">
        <f>MONTH(Table2[[#This Row],[Date]])</f>
        <v>10</v>
      </c>
    </row>
    <row r="130" spans="1:11" x14ac:dyDescent="0.3">
      <c r="A130" s="11" t="s">
        <v>159</v>
      </c>
      <c r="B130" s="2">
        <v>45949</v>
      </c>
      <c r="C130" s="1" t="s">
        <v>10</v>
      </c>
      <c r="D130" s="1" t="s">
        <v>11</v>
      </c>
      <c r="E130" s="1" t="s">
        <v>48</v>
      </c>
      <c r="F130" s="1">
        <v>15</v>
      </c>
      <c r="G130" s="3">
        <v>51.55</v>
      </c>
      <c r="H130" s="3">
        <f t="shared" ref="H130:H161" si="4">F130*G130</f>
        <v>773.25</v>
      </c>
      <c r="I130" s="12" t="s">
        <v>13</v>
      </c>
      <c r="J130" s="12" t="str">
        <f>TEXT(Table2[[#This Row],[Date]],"mmm")</f>
        <v>Oct</v>
      </c>
      <c r="K130" s="22">
        <f>MONTH(Table2[[#This Row],[Date]])</f>
        <v>10</v>
      </c>
    </row>
    <row r="131" spans="1:11" x14ac:dyDescent="0.3">
      <c r="A131" s="11" t="s">
        <v>160</v>
      </c>
      <c r="B131" s="2">
        <v>45952</v>
      </c>
      <c r="C131" s="1" t="s">
        <v>40</v>
      </c>
      <c r="D131" s="1" t="s">
        <v>41</v>
      </c>
      <c r="E131" s="1" t="s">
        <v>28</v>
      </c>
      <c r="F131" s="1">
        <v>55</v>
      </c>
      <c r="G131" s="3">
        <v>32.31</v>
      </c>
      <c r="H131" s="3">
        <f t="shared" si="4"/>
        <v>1777.0500000000002</v>
      </c>
      <c r="I131" s="12" t="s">
        <v>13</v>
      </c>
      <c r="J131" s="12" t="str">
        <f>TEXT(Table2[[#This Row],[Date]],"mmm")</f>
        <v>Oct</v>
      </c>
      <c r="K131" s="22">
        <f>MONTH(Table2[[#This Row],[Date]])</f>
        <v>10</v>
      </c>
    </row>
    <row r="132" spans="1:11" x14ac:dyDescent="0.3">
      <c r="A132" s="11" t="s">
        <v>161</v>
      </c>
      <c r="B132" s="2">
        <v>45952</v>
      </c>
      <c r="C132" s="1" t="s">
        <v>33</v>
      </c>
      <c r="D132" s="1" t="s">
        <v>34</v>
      </c>
      <c r="E132" s="1" t="s">
        <v>30</v>
      </c>
      <c r="F132" s="1">
        <v>107</v>
      </c>
      <c r="G132" s="3">
        <v>30.36</v>
      </c>
      <c r="H132" s="3">
        <f t="shared" si="4"/>
        <v>3248.52</v>
      </c>
      <c r="I132" s="12" t="s">
        <v>13</v>
      </c>
      <c r="J132" s="12" t="str">
        <f>TEXT(Table2[[#This Row],[Date]],"mmm")</f>
        <v>Oct</v>
      </c>
      <c r="K132" s="22">
        <f>MONTH(Table2[[#This Row],[Date]])</f>
        <v>10</v>
      </c>
    </row>
    <row r="133" spans="1:11" x14ac:dyDescent="0.3">
      <c r="A133" s="11" t="s">
        <v>162</v>
      </c>
      <c r="B133" s="2">
        <v>45953</v>
      </c>
      <c r="C133" s="1" t="s">
        <v>10</v>
      </c>
      <c r="D133" s="1" t="s">
        <v>11</v>
      </c>
      <c r="E133" s="1" t="s">
        <v>12</v>
      </c>
      <c r="F133" s="1">
        <v>15</v>
      </c>
      <c r="G133" s="3">
        <v>51.95</v>
      </c>
      <c r="H133" s="3">
        <f t="shared" si="4"/>
        <v>779.25</v>
      </c>
      <c r="I133" s="12" t="s">
        <v>17</v>
      </c>
      <c r="J133" s="12" t="str">
        <f>TEXT(Table2[[#This Row],[Date]],"mmm")</f>
        <v>Oct</v>
      </c>
      <c r="K133" s="22">
        <f>MONTH(Table2[[#This Row],[Date]])</f>
        <v>10</v>
      </c>
    </row>
    <row r="134" spans="1:11" x14ac:dyDescent="0.3">
      <c r="A134" s="11" t="s">
        <v>163</v>
      </c>
      <c r="B134" s="2">
        <v>45956</v>
      </c>
      <c r="C134" s="1" t="s">
        <v>40</v>
      </c>
      <c r="D134" s="1" t="s">
        <v>41</v>
      </c>
      <c r="E134" s="1" t="s">
        <v>28</v>
      </c>
      <c r="F134" s="1">
        <v>27</v>
      </c>
      <c r="G134" s="3">
        <v>33.659999999999997</v>
      </c>
      <c r="H134" s="3">
        <f t="shared" si="4"/>
        <v>908.81999999999994</v>
      </c>
      <c r="I134" s="12" t="s">
        <v>13</v>
      </c>
      <c r="J134" s="12" t="str">
        <f>TEXT(Table2[[#This Row],[Date]],"mmm")</f>
        <v>Oct</v>
      </c>
      <c r="K134" s="22">
        <f>MONTH(Table2[[#This Row],[Date]])</f>
        <v>10</v>
      </c>
    </row>
    <row r="135" spans="1:11" x14ac:dyDescent="0.3">
      <c r="A135" s="11" t="s">
        <v>164</v>
      </c>
      <c r="B135" s="2">
        <v>45956</v>
      </c>
      <c r="C135" s="1" t="s">
        <v>33</v>
      </c>
      <c r="D135" s="1" t="s">
        <v>34</v>
      </c>
      <c r="E135" s="1" t="s">
        <v>48</v>
      </c>
      <c r="F135" s="1">
        <v>43</v>
      </c>
      <c r="G135" s="3">
        <v>27.74</v>
      </c>
      <c r="H135" s="3">
        <f t="shared" si="4"/>
        <v>1192.82</v>
      </c>
      <c r="I135" s="12" t="s">
        <v>22</v>
      </c>
      <c r="J135" s="12" t="str">
        <f>TEXT(Table2[[#This Row],[Date]],"mmm")</f>
        <v>Oct</v>
      </c>
      <c r="K135" s="22">
        <f>MONTH(Table2[[#This Row],[Date]])</f>
        <v>10</v>
      </c>
    </row>
    <row r="136" spans="1:11" x14ac:dyDescent="0.3">
      <c r="A136" s="11" t="s">
        <v>165</v>
      </c>
      <c r="B136" s="2">
        <v>45957</v>
      </c>
      <c r="C136" s="1" t="s">
        <v>40</v>
      </c>
      <c r="D136" s="1" t="s">
        <v>41</v>
      </c>
      <c r="E136" s="1" t="s">
        <v>48</v>
      </c>
      <c r="F136" s="1">
        <v>72</v>
      </c>
      <c r="G136" s="3">
        <v>36.6</v>
      </c>
      <c r="H136" s="3">
        <f t="shared" si="4"/>
        <v>2635.2000000000003</v>
      </c>
      <c r="I136" s="12" t="s">
        <v>13</v>
      </c>
      <c r="J136" s="12" t="str">
        <f>TEXT(Table2[[#This Row],[Date]],"mmm")</f>
        <v>Oct</v>
      </c>
      <c r="K136" s="22">
        <f>MONTH(Table2[[#This Row],[Date]])</f>
        <v>10</v>
      </c>
    </row>
    <row r="137" spans="1:11" x14ac:dyDescent="0.3">
      <c r="A137" s="11" t="s">
        <v>166</v>
      </c>
      <c r="B137" s="2">
        <v>45962</v>
      </c>
      <c r="C137" s="1" t="s">
        <v>19</v>
      </c>
      <c r="D137" s="1" t="s">
        <v>20</v>
      </c>
      <c r="E137" s="1" t="s">
        <v>12</v>
      </c>
      <c r="F137" s="1">
        <v>40</v>
      </c>
      <c r="G137" s="3">
        <v>14.43</v>
      </c>
      <c r="H137" s="3">
        <f t="shared" si="4"/>
        <v>577.20000000000005</v>
      </c>
      <c r="I137" s="12" t="s">
        <v>42</v>
      </c>
      <c r="J137" s="12" t="str">
        <f>TEXT(Table2[[#This Row],[Date]],"mmm")</f>
        <v>Nov</v>
      </c>
      <c r="K137" s="22">
        <f>MONTH(Table2[[#This Row],[Date]])</f>
        <v>11</v>
      </c>
    </row>
    <row r="138" spans="1:11" x14ac:dyDescent="0.3">
      <c r="A138" s="11" t="s">
        <v>167</v>
      </c>
      <c r="B138" s="2">
        <v>45968</v>
      </c>
      <c r="C138" s="1" t="s">
        <v>40</v>
      </c>
      <c r="D138" s="1" t="s">
        <v>41</v>
      </c>
      <c r="E138" s="1" t="s">
        <v>30</v>
      </c>
      <c r="F138" s="1">
        <v>79</v>
      </c>
      <c r="G138" s="3">
        <v>35.229999999999997</v>
      </c>
      <c r="H138" s="3">
        <f t="shared" si="4"/>
        <v>2783.1699999999996</v>
      </c>
      <c r="I138" s="12" t="s">
        <v>22</v>
      </c>
      <c r="J138" s="12" t="str">
        <f>TEXT(Table2[[#This Row],[Date]],"mmm")</f>
        <v>Nov</v>
      </c>
      <c r="K138" s="22">
        <f>MONTH(Table2[[#This Row],[Date]])</f>
        <v>11</v>
      </c>
    </row>
    <row r="139" spans="1:11" x14ac:dyDescent="0.3">
      <c r="A139" s="11" t="s">
        <v>168</v>
      </c>
      <c r="B139" s="2">
        <v>45968</v>
      </c>
      <c r="C139" s="1" t="s">
        <v>33</v>
      </c>
      <c r="D139" s="1" t="s">
        <v>34</v>
      </c>
      <c r="E139" s="1" t="s">
        <v>45</v>
      </c>
      <c r="F139" s="1">
        <v>38</v>
      </c>
      <c r="G139" s="3">
        <v>30.94</v>
      </c>
      <c r="H139" s="3">
        <f t="shared" si="4"/>
        <v>1175.72</v>
      </c>
      <c r="I139" s="12" t="s">
        <v>13</v>
      </c>
      <c r="J139" s="12" t="str">
        <f>TEXT(Table2[[#This Row],[Date]],"mmm")</f>
        <v>Nov</v>
      </c>
      <c r="K139" s="22">
        <f>MONTH(Table2[[#This Row],[Date]])</f>
        <v>11</v>
      </c>
    </row>
    <row r="140" spans="1:11" x14ac:dyDescent="0.3">
      <c r="A140" s="11" t="s">
        <v>169</v>
      </c>
      <c r="B140" s="2">
        <v>45970</v>
      </c>
      <c r="C140" s="1" t="s">
        <v>15</v>
      </c>
      <c r="D140" s="1" t="s">
        <v>16</v>
      </c>
      <c r="E140" s="1" t="s">
        <v>28</v>
      </c>
      <c r="F140" s="1">
        <v>13</v>
      </c>
      <c r="G140" s="3">
        <v>18.88</v>
      </c>
      <c r="H140" s="3">
        <f t="shared" si="4"/>
        <v>245.44</v>
      </c>
      <c r="I140" s="12" t="s">
        <v>13</v>
      </c>
      <c r="J140" s="12" t="str">
        <f>TEXT(Table2[[#This Row],[Date]],"mmm")</f>
        <v>Nov</v>
      </c>
      <c r="K140" s="22">
        <f>MONTH(Table2[[#This Row],[Date]])</f>
        <v>11</v>
      </c>
    </row>
    <row r="141" spans="1:11" x14ac:dyDescent="0.3">
      <c r="A141" s="11" t="s">
        <v>170</v>
      </c>
      <c r="B141" s="2">
        <v>45970</v>
      </c>
      <c r="C141" s="1" t="s">
        <v>15</v>
      </c>
      <c r="D141" s="1" t="s">
        <v>16</v>
      </c>
      <c r="E141" s="1" t="s">
        <v>21</v>
      </c>
      <c r="F141" s="1">
        <v>107</v>
      </c>
      <c r="G141" s="3">
        <v>17.850000000000001</v>
      </c>
      <c r="H141" s="3">
        <f t="shared" si="4"/>
        <v>1909.95</v>
      </c>
      <c r="I141" s="12" t="s">
        <v>13</v>
      </c>
      <c r="J141" s="12" t="str">
        <f>TEXT(Table2[[#This Row],[Date]],"mmm")</f>
        <v>Nov</v>
      </c>
      <c r="K141" s="22">
        <f>MONTH(Table2[[#This Row],[Date]])</f>
        <v>11</v>
      </c>
    </row>
    <row r="142" spans="1:11" x14ac:dyDescent="0.3">
      <c r="A142" s="11" t="s">
        <v>171</v>
      </c>
      <c r="B142" s="2">
        <v>45976</v>
      </c>
      <c r="C142" s="1" t="s">
        <v>33</v>
      </c>
      <c r="D142" s="1" t="s">
        <v>34</v>
      </c>
      <c r="E142" s="1" t="s">
        <v>21</v>
      </c>
      <c r="F142" s="1">
        <v>60</v>
      </c>
      <c r="G142" s="3">
        <v>29.91</v>
      </c>
      <c r="H142" s="3">
        <f t="shared" si="4"/>
        <v>1794.6</v>
      </c>
      <c r="I142" s="12" t="s">
        <v>22</v>
      </c>
      <c r="J142" s="12" t="str">
        <f>TEXT(Table2[[#This Row],[Date]],"mmm")</f>
        <v>Nov</v>
      </c>
      <c r="K142" s="22">
        <f>MONTH(Table2[[#This Row],[Date]])</f>
        <v>11</v>
      </c>
    </row>
    <row r="143" spans="1:11" x14ac:dyDescent="0.3">
      <c r="A143" s="11" t="s">
        <v>172</v>
      </c>
      <c r="B143" s="2">
        <v>45979</v>
      </c>
      <c r="C143" s="1" t="s">
        <v>10</v>
      </c>
      <c r="D143" s="1" t="s">
        <v>11</v>
      </c>
      <c r="E143" s="1" t="s">
        <v>21</v>
      </c>
      <c r="F143" s="1">
        <v>108</v>
      </c>
      <c r="G143" s="3">
        <v>48.5</v>
      </c>
      <c r="H143" s="3">
        <f t="shared" si="4"/>
        <v>5238</v>
      </c>
      <c r="I143" s="12" t="s">
        <v>22</v>
      </c>
      <c r="J143" s="12" t="str">
        <f>TEXT(Table2[[#This Row],[Date]],"mmm")</f>
        <v>Nov</v>
      </c>
      <c r="K143" s="22">
        <f>MONTH(Table2[[#This Row],[Date]])</f>
        <v>11</v>
      </c>
    </row>
    <row r="144" spans="1:11" x14ac:dyDescent="0.3">
      <c r="A144" s="11" t="s">
        <v>173</v>
      </c>
      <c r="B144" s="2">
        <v>45984</v>
      </c>
      <c r="C144" s="1" t="s">
        <v>25</v>
      </c>
      <c r="D144" s="1" t="s">
        <v>26</v>
      </c>
      <c r="E144" s="1" t="s">
        <v>12</v>
      </c>
      <c r="F144" s="1">
        <v>76</v>
      </c>
      <c r="G144" s="3">
        <v>68.05</v>
      </c>
      <c r="H144" s="3">
        <f t="shared" si="4"/>
        <v>5171.8</v>
      </c>
      <c r="I144" s="12" t="s">
        <v>13</v>
      </c>
      <c r="J144" s="12" t="str">
        <f>TEXT(Table2[[#This Row],[Date]],"mmm")</f>
        <v>Nov</v>
      </c>
      <c r="K144" s="22">
        <f>MONTH(Table2[[#This Row],[Date]])</f>
        <v>11</v>
      </c>
    </row>
    <row r="145" spans="1:11" x14ac:dyDescent="0.3">
      <c r="A145" s="11" t="s">
        <v>174</v>
      </c>
      <c r="B145" s="2">
        <v>45985</v>
      </c>
      <c r="C145" s="1" t="s">
        <v>19</v>
      </c>
      <c r="D145" s="1" t="s">
        <v>20</v>
      </c>
      <c r="E145" s="1" t="s">
        <v>21</v>
      </c>
      <c r="F145" s="1">
        <v>45</v>
      </c>
      <c r="G145" s="3">
        <v>13.99</v>
      </c>
      <c r="H145" s="3">
        <f t="shared" si="4"/>
        <v>629.54999999999995</v>
      </c>
      <c r="I145" s="12" t="s">
        <v>13</v>
      </c>
      <c r="J145" s="12" t="str">
        <f>TEXT(Table2[[#This Row],[Date]],"mmm")</f>
        <v>Nov</v>
      </c>
      <c r="K145" s="22">
        <f>MONTH(Table2[[#This Row],[Date]])</f>
        <v>11</v>
      </c>
    </row>
    <row r="146" spans="1:11" x14ac:dyDescent="0.3">
      <c r="A146" s="11" t="s">
        <v>175</v>
      </c>
      <c r="B146" s="2">
        <v>45986</v>
      </c>
      <c r="C146" s="1" t="s">
        <v>25</v>
      </c>
      <c r="D146" s="1" t="s">
        <v>26</v>
      </c>
      <c r="E146" s="1" t="s">
        <v>21</v>
      </c>
      <c r="F146" s="1">
        <v>65</v>
      </c>
      <c r="G146" s="3">
        <v>63.81</v>
      </c>
      <c r="H146" s="3">
        <f t="shared" si="4"/>
        <v>4147.6500000000005</v>
      </c>
      <c r="I146" s="12" t="s">
        <v>13</v>
      </c>
      <c r="J146" s="12" t="str">
        <f>TEXT(Table2[[#This Row],[Date]],"mmm")</f>
        <v>Nov</v>
      </c>
      <c r="K146" s="22">
        <f>MONTH(Table2[[#This Row],[Date]])</f>
        <v>11</v>
      </c>
    </row>
    <row r="147" spans="1:11" x14ac:dyDescent="0.3">
      <c r="A147" s="11" t="s">
        <v>176</v>
      </c>
      <c r="B147" s="2">
        <v>45990</v>
      </c>
      <c r="C147" s="1" t="s">
        <v>15</v>
      </c>
      <c r="D147" s="1" t="s">
        <v>16</v>
      </c>
      <c r="E147" s="1" t="s">
        <v>48</v>
      </c>
      <c r="F147" s="1">
        <v>38</v>
      </c>
      <c r="G147" s="3">
        <v>18.72</v>
      </c>
      <c r="H147" s="3">
        <f t="shared" si="4"/>
        <v>711.3599999999999</v>
      </c>
      <c r="I147" s="12" t="s">
        <v>13</v>
      </c>
      <c r="J147" s="12" t="str">
        <f>TEXT(Table2[[#This Row],[Date]],"mmm")</f>
        <v>Nov</v>
      </c>
      <c r="K147" s="22">
        <f>MONTH(Table2[[#This Row],[Date]])</f>
        <v>11</v>
      </c>
    </row>
    <row r="148" spans="1:11" x14ac:dyDescent="0.3">
      <c r="A148" s="11" t="s">
        <v>177</v>
      </c>
      <c r="B148" s="2">
        <v>45992</v>
      </c>
      <c r="C148" s="1" t="s">
        <v>33</v>
      </c>
      <c r="D148" s="1" t="s">
        <v>34</v>
      </c>
      <c r="E148" s="1" t="s">
        <v>21</v>
      </c>
      <c r="F148" s="1">
        <v>114</v>
      </c>
      <c r="G148" s="3">
        <v>29.71</v>
      </c>
      <c r="H148" s="3">
        <f t="shared" si="4"/>
        <v>3386.94</v>
      </c>
      <c r="I148" s="12" t="s">
        <v>42</v>
      </c>
      <c r="J148" s="12" t="str">
        <f>TEXT(Table2[[#This Row],[Date]],"mmm")</f>
        <v>Dec</v>
      </c>
      <c r="K148" s="22">
        <f>MONTH(Table2[[#This Row],[Date]])</f>
        <v>12</v>
      </c>
    </row>
    <row r="149" spans="1:11" x14ac:dyDescent="0.3">
      <c r="A149" s="11" t="s">
        <v>178</v>
      </c>
      <c r="B149" s="2">
        <v>45993</v>
      </c>
      <c r="C149" s="1" t="s">
        <v>40</v>
      </c>
      <c r="D149" s="1" t="s">
        <v>41</v>
      </c>
      <c r="E149" s="1" t="s">
        <v>28</v>
      </c>
      <c r="F149" s="1">
        <v>92</v>
      </c>
      <c r="G149" s="3">
        <v>33.340000000000003</v>
      </c>
      <c r="H149" s="3">
        <f t="shared" si="4"/>
        <v>3067.28</v>
      </c>
      <c r="I149" s="12" t="s">
        <v>13</v>
      </c>
      <c r="J149" s="12" t="str">
        <f>TEXT(Table2[[#This Row],[Date]],"mmm")</f>
        <v>Dec</v>
      </c>
      <c r="K149" s="22">
        <f>MONTH(Table2[[#This Row],[Date]])</f>
        <v>12</v>
      </c>
    </row>
    <row r="150" spans="1:11" x14ac:dyDescent="0.3">
      <c r="A150" s="11" t="s">
        <v>179</v>
      </c>
      <c r="B150" s="2">
        <v>45995</v>
      </c>
      <c r="C150" s="1" t="s">
        <v>40</v>
      </c>
      <c r="D150" s="1" t="s">
        <v>41</v>
      </c>
      <c r="E150" s="1" t="s">
        <v>28</v>
      </c>
      <c r="F150" s="1">
        <v>62</v>
      </c>
      <c r="G150" s="3">
        <v>33.39</v>
      </c>
      <c r="H150" s="3">
        <f t="shared" si="4"/>
        <v>2070.1799999999998</v>
      </c>
      <c r="I150" s="12" t="s">
        <v>22</v>
      </c>
      <c r="J150" s="12" t="str">
        <f>TEXT(Table2[[#This Row],[Date]],"mmm")</f>
        <v>Dec</v>
      </c>
      <c r="K150" s="22">
        <f>MONTH(Table2[[#This Row],[Date]])</f>
        <v>12</v>
      </c>
    </row>
    <row r="151" spans="1:11" x14ac:dyDescent="0.3">
      <c r="A151" s="11" t="s">
        <v>180</v>
      </c>
      <c r="B151" s="2">
        <v>45995</v>
      </c>
      <c r="C151" s="1" t="s">
        <v>10</v>
      </c>
      <c r="D151" s="1" t="s">
        <v>11</v>
      </c>
      <c r="E151" s="1" t="s">
        <v>28</v>
      </c>
      <c r="F151" s="1">
        <v>45</v>
      </c>
      <c r="G151" s="3">
        <v>53.9</v>
      </c>
      <c r="H151" s="3">
        <f t="shared" si="4"/>
        <v>2425.5</v>
      </c>
      <c r="I151" s="12" t="s">
        <v>42</v>
      </c>
      <c r="J151" s="12" t="str">
        <f>TEXT(Table2[[#This Row],[Date]],"mmm")</f>
        <v>Dec</v>
      </c>
      <c r="K151" s="22">
        <f>MONTH(Table2[[#This Row],[Date]])</f>
        <v>12</v>
      </c>
    </row>
    <row r="152" spans="1:11" x14ac:dyDescent="0.3">
      <c r="A152" s="11" t="s">
        <v>181</v>
      </c>
      <c r="B152" s="2">
        <v>45996</v>
      </c>
      <c r="C152" s="1" t="s">
        <v>19</v>
      </c>
      <c r="D152" s="1" t="s">
        <v>20</v>
      </c>
      <c r="E152" s="1" t="s">
        <v>21</v>
      </c>
      <c r="F152" s="1">
        <v>32</v>
      </c>
      <c r="G152" s="3">
        <v>14.85</v>
      </c>
      <c r="H152" s="3">
        <f t="shared" si="4"/>
        <v>475.2</v>
      </c>
      <c r="I152" s="12" t="s">
        <v>13</v>
      </c>
      <c r="J152" s="12" t="str">
        <f>TEXT(Table2[[#This Row],[Date]],"mmm")</f>
        <v>Dec</v>
      </c>
      <c r="K152" s="22">
        <f>MONTH(Table2[[#This Row],[Date]])</f>
        <v>12</v>
      </c>
    </row>
    <row r="153" spans="1:11" x14ac:dyDescent="0.3">
      <c r="A153" s="11" t="s">
        <v>182</v>
      </c>
      <c r="B153" s="2">
        <v>46002</v>
      </c>
      <c r="C153" s="1" t="s">
        <v>15</v>
      </c>
      <c r="D153" s="1" t="s">
        <v>16</v>
      </c>
      <c r="E153" s="1" t="s">
        <v>30</v>
      </c>
      <c r="F153" s="1">
        <v>22</v>
      </c>
      <c r="G153" s="3">
        <v>17.32</v>
      </c>
      <c r="H153" s="3">
        <f t="shared" si="4"/>
        <v>381.04</v>
      </c>
      <c r="I153" s="12" t="s">
        <v>22</v>
      </c>
      <c r="J153" s="12" t="str">
        <f>TEXT(Table2[[#This Row],[Date]],"mmm")</f>
        <v>Dec</v>
      </c>
      <c r="K153" s="22">
        <f>MONTH(Table2[[#This Row],[Date]])</f>
        <v>12</v>
      </c>
    </row>
    <row r="154" spans="1:11" x14ac:dyDescent="0.3">
      <c r="A154" s="11" t="s">
        <v>183</v>
      </c>
      <c r="B154" s="2">
        <v>46005</v>
      </c>
      <c r="C154" s="1" t="s">
        <v>40</v>
      </c>
      <c r="D154" s="1" t="s">
        <v>41</v>
      </c>
      <c r="E154" s="1" t="s">
        <v>12</v>
      </c>
      <c r="F154" s="1">
        <v>117</v>
      </c>
      <c r="G154" s="3">
        <v>33.39</v>
      </c>
      <c r="H154" s="3">
        <f t="shared" si="4"/>
        <v>3906.63</v>
      </c>
      <c r="I154" s="12" t="s">
        <v>13</v>
      </c>
      <c r="J154" s="12" t="str">
        <f>TEXT(Table2[[#This Row],[Date]],"mmm")</f>
        <v>Dec</v>
      </c>
      <c r="K154" s="22">
        <f>MONTH(Table2[[#This Row],[Date]])</f>
        <v>12</v>
      </c>
    </row>
    <row r="155" spans="1:11" x14ac:dyDescent="0.3">
      <c r="A155" s="11" t="s">
        <v>184</v>
      </c>
      <c r="B155" s="2">
        <v>46007</v>
      </c>
      <c r="C155" s="1" t="s">
        <v>15</v>
      </c>
      <c r="D155" s="1" t="s">
        <v>16</v>
      </c>
      <c r="E155" s="1" t="s">
        <v>21</v>
      </c>
      <c r="F155" s="1">
        <v>91</v>
      </c>
      <c r="G155" s="3">
        <v>17.72</v>
      </c>
      <c r="H155" s="3">
        <f t="shared" si="4"/>
        <v>1612.52</v>
      </c>
      <c r="I155" s="12" t="s">
        <v>22</v>
      </c>
      <c r="J155" s="12" t="str">
        <f>TEXT(Table2[[#This Row],[Date]],"mmm")</f>
        <v>Dec</v>
      </c>
      <c r="K155" s="22">
        <f>MONTH(Table2[[#This Row],[Date]])</f>
        <v>12</v>
      </c>
    </row>
    <row r="156" spans="1:11" x14ac:dyDescent="0.3">
      <c r="A156" s="11" t="s">
        <v>185</v>
      </c>
      <c r="B156" s="2">
        <v>46009</v>
      </c>
      <c r="C156" s="1" t="s">
        <v>15</v>
      </c>
      <c r="D156" s="1" t="s">
        <v>16</v>
      </c>
      <c r="E156" s="1" t="s">
        <v>30</v>
      </c>
      <c r="F156" s="1">
        <v>104</v>
      </c>
      <c r="G156" s="3">
        <v>19.510000000000002</v>
      </c>
      <c r="H156" s="3">
        <f t="shared" si="4"/>
        <v>2029.0400000000002</v>
      </c>
      <c r="I156" s="12" t="s">
        <v>13</v>
      </c>
      <c r="J156" s="12" t="str">
        <f>TEXT(Table2[[#This Row],[Date]],"mmm")</f>
        <v>Dec</v>
      </c>
      <c r="K156" s="22">
        <f>MONTH(Table2[[#This Row],[Date]])</f>
        <v>12</v>
      </c>
    </row>
    <row r="157" spans="1:11" x14ac:dyDescent="0.3">
      <c r="A157" s="11" t="s">
        <v>186</v>
      </c>
      <c r="B157" s="2">
        <v>46011</v>
      </c>
      <c r="C157" s="1" t="s">
        <v>10</v>
      </c>
      <c r="D157" s="1" t="s">
        <v>11</v>
      </c>
      <c r="E157" s="1" t="s">
        <v>21</v>
      </c>
      <c r="F157" s="1">
        <v>104</v>
      </c>
      <c r="G157" s="3">
        <v>50.25</v>
      </c>
      <c r="H157" s="3">
        <f t="shared" si="4"/>
        <v>5226</v>
      </c>
      <c r="I157" s="12" t="s">
        <v>22</v>
      </c>
      <c r="J157" s="12" t="str">
        <f>TEXT(Table2[[#This Row],[Date]],"mmm")</f>
        <v>Dec</v>
      </c>
      <c r="K157" s="22">
        <f>MONTH(Table2[[#This Row],[Date]])</f>
        <v>12</v>
      </c>
    </row>
    <row r="158" spans="1:11" x14ac:dyDescent="0.3">
      <c r="A158" s="11" t="s">
        <v>187</v>
      </c>
      <c r="B158" s="2">
        <v>46013</v>
      </c>
      <c r="C158" s="1" t="s">
        <v>40</v>
      </c>
      <c r="D158" s="1" t="s">
        <v>41</v>
      </c>
      <c r="E158" s="1" t="s">
        <v>28</v>
      </c>
      <c r="F158" s="1">
        <v>61</v>
      </c>
      <c r="G158" s="3">
        <v>35.61</v>
      </c>
      <c r="H158" s="3">
        <f t="shared" si="4"/>
        <v>2172.21</v>
      </c>
      <c r="I158" s="12" t="s">
        <v>22</v>
      </c>
      <c r="J158" s="12" t="str">
        <f>TEXT(Table2[[#This Row],[Date]],"mmm")</f>
        <v>Dec</v>
      </c>
      <c r="K158" s="22">
        <f>MONTH(Table2[[#This Row],[Date]])</f>
        <v>12</v>
      </c>
    </row>
    <row r="159" spans="1:11" x14ac:dyDescent="0.3">
      <c r="A159" s="11" t="s">
        <v>188</v>
      </c>
      <c r="B159" s="2">
        <v>46017</v>
      </c>
      <c r="C159" s="1" t="s">
        <v>19</v>
      </c>
      <c r="D159" s="1" t="s">
        <v>20</v>
      </c>
      <c r="E159" s="1" t="s">
        <v>28</v>
      </c>
      <c r="F159" s="1">
        <v>14</v>
      </c>
      <c r="G159" s="3">
        <v>15.7</v>
      </c>
      <c r="H159" s="3">
        <f t="shared" si="4"/>
        <v>219.79999999999998</v>
      </c>
      <c r="I159" s="12" t="s">
        <v>13</v>
      </c>
      <c r="J159" s="12" t="str">
        <f>TEXT(Table2[[#This Row],[Date]],"mmm")</f>
        <v>Dec</v>
      </c>
      <c r="K159" s="22">
        <f>MONTH(Table2[[#This Row],[Date]])</f>
        <v>12</v>
      </c>
    </row>
    <row r="160" spans="1:11" x14ac:dyDescent="0.3">
      <c r="A160" s="11" t="s">
        <v>189</v>
      </c>
      <c r="B160" s="2">
        <v>46017</v>
      </c>
      <c r="C160" s="1" t="s">
        <v>25</v>
      </c>
      <c r="D160" s="1" t="s">
        <v>26</v>
      </c>
      <c r="E160" s="1" t="s">
        <v>48</v>
      </c>
      <c r="F160" s="1">
        <v>76</v>
      </c>
      <c r="G160" s="3">
        <v>74.069999999999993</v>
      </c>
      <c r="H160" s="3">
        <f t="shared" si="4"/>
        <v>5629.32</v>
      </c>
      <c r="I160" s="12" t="s">
        <v>13</v>
      </c>
      <c r="J160" s="12" t="str">
        <f>TEXT(Table2[[#This Row],[Date]],"mmm")</f>
        <v>Dec</v>
      </c>
      <c r="K160" s="22">
        <f>MONTH(Table2[[#This Row],[Date]])</f>
        <v>12</v>
      </c>
    </row>
    <row r="161" spans="1:11" x14ac:dyDescent="0.3">
      <c r="A161" s="14" t="s">
        <v>190</v>
      </c>
      <c r="B161" s="15">
        <v>46019</v>
      </c>
      <c r="C161" s="16" t="s">
        <v>25</v>
      </c>
      <c r="D161" s="16" t="s">
        <v>26</v>
      </c>
      <c r="E161" s="16" t="s">
        <v>12</v>
      </c>
      <c r="F161" s="16">
        <v>68</v>
      </c>
      <c r="G161" s="17">
        <v>62.68</v>
      </c>
      <c r="H161" s="17">
        <f t="shared" si="4"/>
        <v>4262.24</v>
      </c>
      <c r="I161" s="18" t="s">
        <v>13</v>
      </c>
      <c r="J161" s="18" t="str">
        <f>TEXT(Table2[[#This Row],[Date]],"mmm")</f>
        <v>Dec</v>
      </c>
      <c r="K161" s="24">
        <f>MONTH(Table2[[#This Row],[Date]])</f>
        <v>12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C8DCE-0666-438C-8EA7-DA5E7C4FBC4E}">
  <dimension ref="A1:K161"/>
  <sheetViews>
    <sheetView workbookViewId="0">
      <selection sqref="A1:K161"/>
    </sheetView>
  </sheetViews>
  <sheetFormatPr defaultRowHeight="14.4" x14ac:dyDescent="0.3"/>
  <cols>
    <col min="1" max="1" width="9.88671875" customWidth="1"/>
    <col min="3" max="3" width="9.5546875" customWidth="1"/>
    <col min="4" max="4" width="10.44140625" customWidth="1"/>
    <col min="5" max="5" width="15.5546875" customWidth="1"/>
    <col min="6" max="6" width="10.21875" customWidth="1"/>
    <col min="7" max="7" width="16.33203125" customWidth="1"/>
    <col min="8" max="8" width="15.5546875" customWidth="1"/>
    <col min="9" max="9" width="13.33203125" customWidth="1"/>
    <col min="11" max="11" width="16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200</v>
      </c>
      <c r="K1" t="s">
        <v>219</v>
      </c>
    </row>
    <row r="2" spans="1:11" x14ac:dyDescent="0.3">
      <c r="A2" t="s">
        <v>9</v>
      </c>
      <c r="B2" s="31">
        <v>45661</v>
      </c>
      <c r="C2" t="s">
        <v>10</v>
      </c>
      <c r="D2" t="s">
        <v>11</v>
      </c>
      <c r="E2" t="s">
        <v>12</v>
      </c>
      <c r="F2">
        <v>53</v>
      </c>
      <c r="G2">
        <v>48.27</v>
      </c>
      <c r="H2">
        <v>2558.31</v>
      </c>
      <c r="I2" t="s">
        <v>13</v>
      </c>
      <c r="J2" t="s">
        <v>205</v>
      </c>
      <c r="K2">
        <v>1</v>
      </c>
    </row>
    <row r="3" spans="1:11" x14ac:dyDescent="0.3">
      <c r="A3" t="s">
        <v>14</v>
      </c>
      <c r="B3" s="31">
        <v>45663</v>
      </c>
      <c r="C3" t="s">
        <v>15</v>
      </c>
      <c r="D3" t="s">
        <v>16</v>
      </c>
      <c r="E3" t="s">
        <v>12</v>
      </c>
      <c r="F3">
        <v>97</v>
      </c>
      <c r="G3">
        <v>20.29</v>
      </c>
      <c r="H3">
        <v>1968.1299999999999</v>
      </c>
      <c r="I3" t="s">
        <v>17</v>
      </c>
      <c r="J3" t="s">
        <v>205</v>
      </c>
      <c r="K3">
        <v>1</v>
      </c>
    </row>
    <row r="4" spans="1:11" x14ac:dyDescent="0.3">
      <c r="A4" t="s">
        <v>18</v>
      </c>
      <c r="B4" s="31">
        <v>45673</v>
      </c>
      <c r="C4" t="s">
        <v>19</v>
      </c>
      <c r="D4" t="s">
        <v>20</v>
      </c>
      <c r="E4" t="s">
        <v>21</v>
      </c>
      <c r="F4">
        <v>74</v>
      </c>
      <c r="G4">
        <v>14.99</v>
      </c>
      <c r="H4">
        <v>1109.26</v>
      </c>
      <c r="I4" t="s">
        <v>22</v>
      </c>
      <c r="J4" t="s">
        <v>205</v>
      </c>
      <c r="K4">
        <v>1</v>
      </c>
    </row>
    <row r="5" spans="1:11" x14ac:dyDescent="0.3">
      <c r="A5" t="s">
        <v>23</v>
      </c>
      <c r="B5" s="31">
        <v>45673</v>
      </c>
      <c r="C5" t="s">
        <v>10</v>
      </c>
      <c r="D5" t="s">
        <v>11</v>
      </c>
      <c r="E5" t="s">
        <v>21</v>
      </c>
      <c r="F5">
        <v>12</v>
      </c>
      <c r="G5">
        <v>51.56</v>
      </c>
      <c r="H5">
        <v>618.72</v>
      </c>
      <c r="I5" t="s">
        <v>13</v>
      </c>
      <c r="J5" t="s">
        <v>205</v>
      </c>
      <c r="K5">
        <v>1</v>
      </c>
    </row>
    <row r="6" spans="1:11" x14ac:dyDescent="0.3">
      <c r="A6" t="s">
        <v>24</v>
      </c>
      <c r="B6" s="31">
        <v>45678</v>
      </c>
      <c r="C6" t="s">
        <v>25</v>
      </c>
      <c r="D6" t="s">
        <v>26</v>
      </c>
      <c r="E6" t="s">
        <v>21</v>
      </c>
      <c r="F6">
        <v>41</v>
      </c>
      <c r="G6">
        <v>70.42</v>
      </c>
      <c r="H6">
        <v>2887.2200000000003</v>
      </c>
      <c r="I6" t="s">
        <v>13</v>
      </c>
      <c r="J6" t="s">
        <v>205</v>
      </c>
      <c r="K6">
        <v>1</v>
      </c>
    </row>
    <row r="7" spans="1:11" x14ac:dyDescent="0.3">
      <c r="A7" t="s">
        <v>27</v>
      </c>
      <c r="B7" s="31">
        <v>45678</v>
      </c>
      <c r="C7" t="s">
        <v>10</v>
      </c>
      <c r="D7" t="s">
        <v>11</v>
      </c>
      <c r="E7" t="s">
        <v>28</v>
      </c>
      <c r="F7">
        <v>93</v>
      </c>
      <c r="G7">
        <v>49.85</v>
      </c>
      <c r="H7">
        <v>4636.05</v>
      </c>
      <c r="I7" t="s">
        <v>13</v>
      </c>
      <c r="J7" t="s">
        <v>205</v>
      </c>
      <c r="K7">
        <v>1</v>
      </c>
    </row>
    <row r="8" spans="1:11" x14ac:dyDescent="0.3">
      <c r="A8" t="s">
        <v>29</v>
      </c>
      <c r="B8" s="31">
        <v>45681</v>
      </c>
      <c r="C8" t="s">
        <v>10</v>
      </c>
      <c r="D8" t="s">
        <v>11</v>
      </c>
      <c r="E8" t="s">
        <v>30</v>
      </c>
      <c r="F8">
        <v>88</v>
      </c>
      <c r="G8">
        <v>53.76</v>
      </c>
      <c r="H8">
        <v>4730.88</v>
      </c>
      <c r="I8" t="s">
        <v>13</v>
      </c>
      <c r="J8" t="s">
        <v>205</v>
      </c>
      <c r="K8">
        <v>1</v>
      </c>
    </row>
    <row r="9" spans="1:11" x14ac:dyDescent="0.3">
      <c r="A9" t="s">
        <v>31</v>
      </c>
      <c r="B9" s="31">
        <v>45682</v>
      </c>
      <c r="C9" t="s">
        <v>19</v>
      </c>
      <c r="D9" t="s">
        <v>20</v>
      </c>
      <c r="E9" t="s">
        <v>21</v>
      </c>
      <c r="F9">
        <v>30</v>
      </c>
      <c r="G9">
        <v>15.52</v>
      </c>
      <c r="H9">
        <v>465.59999999999997</v>
      </c>
      <c r="I9" t="s">
        <v>13</v>
      </c>
      <c r="J9" t="s">
        <v>205</v>
      </c>
      <c r="K9">
        <v>1</v>
      </c>
    </row>
    <row r="10" spans="1:11" x14ac:dyDescent="0.3">
      <c r="A10" t="s">
        <v>32</v>
      </c>
      <c r="B10" s="31">
        <v>45683</v>
      </c>
      <c r="C10" t="s">
        <v>33</v>
      </c>
      <c r="D10" t="s">
        <v>34</v>
      </c>
      <c r="E10" t="s">
        <v>21</v>
      </c>
      <c r="F10">
        <v>118</v>
      </c>
      <c r="G10">
        <v>27.28</v>
      </c>
      <c r="H10">
        <v>3219.04</v>
      </c>
      <c r="I10" t="s">
        <v>13</v>
      </c>
      <c r="J10" t="s">
        <v>205</v>
      </c>
      <c r="K10">
        <v>1</v>
      </c>
    </row>
    <row r="11" spans="1:11" x14ac:dyDescent="0.3">
      <c r="A11" t="s">
        <v>35</v>
      </c>
      <c r="B11" s="31">
        <v>45684</v>
      </c>
      <c r="C11" t="s">
        <v>25</v>
      </c>
      <c r="D11" t="s">
        <v>26</v>
      </c>
      <c r="E11" t="s">
        <v>21</v>
      </c>
      <c r="F11">
        <v>18</v>
      </c>
      <c r="G11">
        <v>71.91</v>
      </c>
      <c r="H11">
        <v>1294.3799999999999</v>
      </c>
      <c r="I11" t="s">
        <v>22</v>
      </c>
      <c r="J11" t="s">
        <v>205</v>
      </c>
      <c r="K11">
        <v>1</v>
      </c>
    </row>
    <row r="12" spans="1:11" x14ac:dyDescent="0.3">
      <c r="A12" t="s">
        <v>36</v>
      </c>
      <c r="B12" s="31">
        <v>45684</v>
      </c>
      <c r="C12" t="s">
        <v>25</v>
      </c>
      <c r="D12" t="s">
        <v>26</v>
      </c>
      <c r="E12" t="s">
        <v>30</v>
      </c>
      <c r="F12">
        <v>71</v>
      </c>
      <c r="G12">
        <v>63.23</v>
      </c>
      <c r="H12">
        <v>4489.33</v>
      </c>
      <c r="I12" t="s">
        <v>13</v>
      </c>
      <c r="J12" t="s">
        <v>205</v>
      </c>
      <c r="K12">
        <v>1</v>
      </c>
    </row>
    <row r="13" spans="1:11" x14ac:dyDescent="0.3">
      <c r="A13" t="s">
        <v>37</v>
      </c>
      <c r="B13" s="31">
        <v>45685</v>
      </c>
      <c r="C13" t="s">
        <v>33</v>
      </c>
      <c r="D13" t="s">
        <v>34</v>
      </c>
      <c r="E13" t="s">
        <v>28</v>
      </c>
      <c r="F13">
        <v>26</v>
      </c>
      <c r="G13">
        <v>30.17</v>
      </c>
      <c r="H13">
        <v>784.42000000000007</v>
      </c>
      <c r="I13" t="s">
        <v>17</v>
      </c>
      <c r="J13" t="s">
        <v>205</v>
      </c>
      <c r="K13">
        <v>1</v>
      </c>
    </row>
    <row r="14" spans="1:11" x14ac:dyDescent="0.3">
      <c r="A14" t="s">
        <v>38</v>
      </c>
      <c r="B14" s="31">
        <v>45688</v>
      </c>
      <c r="C14" t="s">
        <v>10</v>
      </c>
      <c r="D14" t="s">
        <v>11</v>
      </c>
      <c r="E14" t="s">
        <v>28</v>
      </c>
      <c r="F14">
        <v>59</v>
      </c>
      <c r="G14">
        <v>48.15</v>
      </c>
      <c r="H14">
        <v>2840.85</v>
      </c>
      <c r="I14" t="s">
        <v>17</v>
      </c>
      <c r="J14" t="s">
        <v>205</v>
      </c>
      <c r="K14">
        <v>1</v>
      </c>
    </row>
    <row r="15" spans="1:11" x14ac:dyDescent="0.3">
      <c r="A15" t="s">
        <v>39</v>
      </c>
      <c r="B15" s="31">
        <v>45690</v>
      </c>
      <c r="C15" t="s">
        <v>40</v>
      </c>
      <c r="D15" t="s">
        <v>41</v>
      </c>
      <c r="E15" t="s">
        <v>28</v>
      </c>
      <c r="F15">
        <v>69</v>
      </c>
      <c r="G15">
        <v>33.79</v>
      </c>
      <c r="H15">
        <v>2331.5099999999998</v>
      </c>
      <c r="I15" t="s">
        <v>42</v>
      </c>
      <c r="J15" t="s">
        <v>206</v>
      </c>
      <c r="K15">
        <v>2</v>
      </c>
    </row>
    <row r="16" spans="1:11" x14ac:dyDescent="0.3">
      <c r="A16" t="s">
        <v>43</v>
      </c>
      <c r="B16" s="31">
        <v>45691</v>
      </c>
      <c r="C16" t="s">
        <v>10</v>
      </c>
      <c r="D16" t="s">
        <v>11</v>
      </c>
      <c r="E16" t="s">
        <v>30</v>
      </c>
      <c r="F16">
        <v>82</v>
      </c>
      <c r="G16">
        <v>54.01</v>
      </c>
      <c r="H16">
        <v>4428.82</v>
      </c>
      <c r="I16" t="s">
        <v>13</v>
      </c>
      <c r="J16" t="s">
        <v>206</v>
      </c>
      <c r="K16">
        <v>2</v>
      </c>
    </row>
    <row r="17" spans="1:11" x14ac:dyDescent="0.3">
      <c r="A17" t="s">
        <v>44</v>
      </c>
      <c r="B17" s="31">
        <v>45692</v>
      </c>
      <c r="C17" t="s">
        <v>19</v>
      </c>
      <c r="D17" t="s">
        <v>20</v>
      </c>
      <c r="E17" t="s">
        <v>45</v>
      </c>
      <c r="F17">
        <v>19</v>
      </c>
      <c r="G17">
        <v>14.74</v>
      </c>
      <c r="H17">
        <v>280.06</v>
      </c>
      <c r="I17" t="s">
        <v>13</v>
      </c>
      <c r="J17" t="s">
        <v>206</v>
      </c>
      <c r="K17">
        <v>2</v>
      </c>
    </row>
    <row r="18" spans="1:11" x14ac:dyDescent="0.3">
      <c r="A18" t="s">
        <v>46</v>
      </c>
      <c r="B18" s="31">
        <v>45693</v>
      </c>
      <c r="C18" t="s">
        <v>15</v>
      </c>
      <c r="D18" t="s">
        <v>16</v>
      </c>
      <c r="E18" t="s">
        <v>30</v>
      </c>
      <c r="F18">
        <v>89</v>
      </c>
      <c r="G18">
        <v>18.23</v>
      </c>
      <c r="H18">
        <v>1622.47</v>
      </c>
      <c r="I18" t="s">
        <v>17</v>
      </c>
      <c r="J18" t="s">
        <v>206</v>
      </c>
      <c r="K18">
        <v>2</v>
      </c>
    </row>
    <row r="19" spans="1:11" x14ac:dyDescent="0.3">
      <c r="A19" t="s">
        <v>47</v>
      </c>
      <c r="B19" s="31">
        <v>45693</v>
      </c>
      <c r="C19" t="s">
        <v>33</v>
      </c>
      <c r="D19" t="s">
        <v>34</v>
      </c>
      <c r="E19" t="s">
        <v>48</v>
      </c>
      <c r="F19">
        <v>11</v>
      </c>
      <c r="G19">
        <v>31.36</v>
      </c>
      <c r="H19">
        <v>344.96</v>
      </c>
      <c r="I19" t="s">
        <v>17</v>
      </c>
      <c r="J19" t="s">
        <v>206</v>
      </c>
      <c r="K19">
        <v>2</v>
      </c>
    </row>
    <row r="20" spans="1:11" x14ac:dyDescent="0.3">
      <c r="A20" t="s">
        <v>49</v>
      </c>
      <c r="B20" s="31">
        <v>45695</v>
      </c>
      <c r="C20" t="s">
        <v>19</v>
      </c>
      <c r="D20" t="s">
        <v>20</v>
      </c>
      <c r="E20" t="s">
        <v>28</v>
      </c>
      <c r="F20">
        <v>82</v>
      </c>
      <c r="G20">
        <v>16.09</v>
      </c>
      <c r="H20">
        <v>1319.3799999999999</v>
      </c>
      <c r="I20" t="s">
        <v>13</v>
      </c>
      <c r="J20" t="s">
        <v>206</v>
      </c>
      <c r="K20">
        <v>2</v>
      </c>
    </row>
    <row r="21" spans="1:11" x14ac:dyDescent="0.3">
      <c r="A21" t="s">
        <v>50</v>
      </c>
      <c r="B21" s="31">
        <v>45696</v>
      </c>
      <c r="C21" t="s">
        <v>15</v>
      </c>
      <c r="D21" t="s">
        <v>16</v>
      </c>
      <c r="E21" t="s">
        <v>45</v>
      </c>
      <c r="F21">
        <v>79</v>
      </c>
      <c r="G21">
        <v>17.23</v>
      </c>
      <c r="H21">
        <v>1361.17</v>
      </c>
      <c r="I21" t="s">
        <v>13</v>
      </c>
      <c r="J21" t="s">
        <v>206</v>
      </c>
      <c r="K21">
        <v>2</v>
      </c>
    </row>
    <row r="22" spans="1:11" x14ac:dyDescent="0.3">
      <c r="A22" t="s">
        <v>51</v>
      </c>
      <c r="B22" s="31">
        <v>45698</v>
      </c>
      <c r="C22" t="s">
        <v>33</v>
      </c>
      <c r="D22" t="s">
        <v>34</v>
      </c>
      <c r="E22" t="s">
        <v>28</v>
      </c>
      <c r="F22">
        <v>90</v>
      </c>
      <c r="G22">
        <v>30.06</v>
      </c>
      <c r="H22">
        <v>2705.4</v>
      </c>
      <c r="I22" t="s">
        <v>17</v>
      </c>
      <c r="J22" t="s">
        <v>206</v>
      </c>
      <c r="K22">
        <v>2</v>
      </c>
    </row>
    <row r="23" spans="1:11" x14ac:dyDescent="0.3">
      <c r="A23" t="s">
        <v>52</v>
      </c>
      <c r="B23" s="31">
        <v>45698</v>
      </c>
      <c r="C23" t="s">
        <v>10</v>
      </c>
      <c r="D23" t="s">
        <v>11</v>
      </c>
      <c r="E23" t="s">
        <v>45</v>
      </c>
      <c r="F23">
        <v>58</v>
      </c>
      <c r="G23">
        <v>48.27</v>
      </c>
      <c r="H23">
        <v>2799.6600000000003</v>
      </c>
      <c r="I23" t="s">
        <v>22</v>
      </c>
      <c r="J23" t="s">
        <v>206</v>
      </c>
      <c r="K23">
        <v>2</v>
      </c>
    </row>
    <row r="24" spans="1:11" x14ac:dyDescent="0.3">
      <c r="A24" t="s">
        <v>53</v>
      </c>
      <c r="B24" s="31">
        <v>45700</v>
      </c>
      <c r="C24" t="s">
        <v>15</v>
      </c>
      <c r="D24" t="s">
        <v>16</v>
      </c>
      <c r="E24" t="s">
        <v>28</v>
      </c>
      <c r="F24">
        <v>120</v>
      </c>
      <c r="G24">
        <v>18.760000000000002</v>
      </c>
      <c r="H24">
        <v>2251.2000000000003</v>
      </c>
      <c r="I24" t="s">
        <v>13</v>
      </c>
      <c r="J24" t="s">
        <v>206</v>
      </c>
      <c r="K24">
        <v>2</v>
      </c>
    </row>
    <row r="25" spans="1:11" x14ac:dyDescent="0.3">
      <c r="A25" t="s">
        <v>54</v>
      </c>
      <c r="B25" s="31">
        <v>45701</v>
      </c>
      <c r="C25" t="s">
        <v>15</v>
      </c>
      <c r="D25" t="s">
        <v>16</v>
      </c>
      <c r="E25" t="s">
        <v>28</v>
      </c>
      <c r="F25">
        <v>18</v>
      </c>
      <c r="G25">
        <v>20.62</v>
      </c>
      <c r="H25">
        <v>371.16</v>
      </c>
      <c r="I25" t="s">
        <v>13</v>
      </c>
      <c r="J25" t="s">
        <v>206</v>
      </c>
      <c r="K25">
        <v>2</v>
      </c>
    </row>
    <row r="26" spans="1:11" x14ac:dyDescent="0.3">
      <c r="A26" t="s">
        <v>55</v>
      </c>
      <c r="B26" s="31">
        <v>45705</v>
      </c>
      <c r="C26" t="s">
        <v>10</v>
      </c>
      <c r="D26" t="s">
        <v>11</v>
      </c>
      <c r="E26" t="s">
        <v>12</v>
      </c>
      <c r="F26">
        <v>38</v>
      </c>
      <c r="G26">
        <v>53.34</v>
      </c>
      <c r="H26">
        <v>2026.92</v>
      </c>
      <c r="I26" t="s">
        <v>13</v>
      </c>
      <c r="J26" t="s">
        <v>206</v>
      </c>
      <c r="K26">
        <v>2</v>
      </c>
    </row>
    <row r="27" spans="1:11" x14ac:dyDescent="0.3">
      <c r="A27" t="s">
        <v>56</v>
      </c>
      <c r="B27" s="31">
        <v>45710</v>
      </c>
      <c r="C27" t="s">
        <v>15</v>
      </c>
      <c r="D27" t="s">
        <v>16</v>
      </c>
      <c r="E27" t="s">
        <v>12</v>
      </c>
      <c r="F27">
        <v>79</v>
      </c>
      <c r="G27">
        <v>17.41</v>
      </c>
      <c r="H27">
        <v>1375.39</v>
      </c>
      <c r="I27" t="s">
        <v>13</v>
      </c>
      <c r="J27" t="s">
        <v>206</v>
      </c>
      <c r="K27">
        <v>2</v>
      </c>
    </row>
    <row r="28" spans="1:11" x14ac:dyDescent="0.3">
      <c r="A28" t="s">
        <v>57</v>
      </c>
      <c r="B28" s="31">
        <v>45710</v>
      </c>
      <c r="C28" t="s">
        <v>19</v>
      </c>
      <c r="D28" t="s">
        <v>20</v>
      </c>
      <c r="E28" t="s">
        <v>48</v>
      </c>
      <c r="F28">
        <v>70</v>
      </c>
      <c r="G28">
        <v>14.64</v>
      </c>
      <c r="H28">
        <v>1024.8</v>
      </c>
      <c r="I28" t="s">
        <v>13</v>
      </c>
      <c r="J28" t="s">
        <v>206</v>
      </c>
      <c r="K28">
        <v>2</v>
      </c>
    </row>
    <row r="29" spans="1:11" x14ac:dyDescent="0.3">
      <c r="A29" t="s">
        <v>58</v>
      </c>
      <c r="B29" s="31">
        <v>45711</v>
      </c>
      <c r="C29" t="s">
        <v>10</v>
      </c>
      <c r="D29" t="s">
        <v>11</v>
      </c>
      <c r="E29" t="s">
        <v>21</v>
      </c>
      <c r="F29">
        <v>23</v>
      </c>
      <c r="G29">
        <v>52.73</v>
      </c>
      <c r="H29">
        <v>1212.79</v>
      </c>
      <c r="I29" t="s">
        <v>13</v>
      </c>
      <c r="J29" t="s">
        <v>206</v>
      </c>
      <c r="K29">
        <v>2</v>
      </c>
    </row>
    <row r="30" spans="1:11" x14ac:dyDescent="0.3">
      <c r="A30" t="s">
        <v>59</v>
      </c>
      <c r="B30" s="31">
        <v>45712</v>
      </c>
      <c r="C30" t="s">
        <v>40</v>
      </c>
      <c r="D30" t="s">
        <v>41</v>
      </c>
      <c r="E30" t="s">
        <v>21</v>
      </c>
      <c r="F30">
        <v>112</v>
      </c>
      <c r="G30">
        <v>36.53</v>
      </c>
      <c r="H30">
        <v>4091.36</v>
      </c>
      <c r="I30" t="s">
        <v>13</v>
      </c>
      <c r="J30" t="s">
        <v>206</v>
      </c>
      <c r="K30">
        <v>2</v>
      </c>
    </row>
    <row r="31" spans="1:11" x14ac:dyDescent="0.3">
      <c r="A31" t="s">
        <v>60</v>
      </c>
      <c r="B31" s="31">
        <v>45712</v>
      </c>
      <c r="C31" t="s">
        <v>40</v>
      </c>
      <c r="D31" t="s">
        <v>41</v>
      </c>
      <c r="E31" t="s">
        <v>30</v>
      </c>
      <c r="F31">
        <v>91</v>
      </c>
      <c r="G31">
        <v>36.11</v>
      </c>
      <c r="H31">
        <v>3286.0099999999998</v>
      </c>
      <c r="I31" t="s">
        <v>13</v>
      </c>
      <c r="J31" t="s">
        <v>206</v>
      </c>
      <c r="K31">
        <v>2</v>
      </c>
    </row>
    <row r="32" spans="1:11" x14ac:dyDescent="0.3">
      <c r="A32" t="s">
        <v>61</v>
      </c>
      <c r="B32" s="31">
        <v>45713</v>
      </c>
      <c r="C32" t="s">
        <v>10</v>
      </c>
      <c r="D32" t="s">
        <v>11</v>
      </c>
      <c r="E32" t="s">
        <v>21</v>
      </c>
      <c r="F32">
        <v>78</v>
      </c>
      <c r="G32">
        <v>49.91</v>
      </c>
      <c r="H32">
        <v>3892.9799999999996</v>
      </c>
      <c r="I32" t="s">
        <v>13</v>
      </c>
      <c r="J32" t="s">
        <v>206</v>
      </c>
      <c r="K32">
        <v>2</v>
      </c>
    </row>
    <row r="33" spans="1:11" x14ac:dyDescent="0.3">
      <c r="A33" t="s">
        <v>62</v>
      </c>
      <c r="B33" s="31">
        <v>45716</v>
      </c>
      <c r="C33" t="s">
        <v>40</v>
      </c>
      <c r="D33" t="s">
        <v>41</v>
      </c>
      <c r="E33" t="s">
        <v>30</v>
      </c>
      <c r="F33">
        <v>92</v>
      </c>
      <c r="G33">
        <v>35.729999999999997</v>
      </c>
      <c r="H33">
        <v>3287.16</v>
      </c>
      <c r="I33" t="s">
        <v>13</v>
      </c>
      <c r="J33" t="s">
        <v>206</v>
      </c>
      <c r="K33">
        <v>2</v>
      </c>
    </row>
    <row r="34" spans="1:11" x14ac:dyDescent="0.3">
      <c r="A34" t="s">
        <v>63</v>
      </c>
      <c r="B34" s="31">
        <v>45719</v>
      </c>
      <c r="C34" t="s">
        <v>33</v>
      </c>
      <c r="D34" t="s">
        <v>34</v>
      </c>
      <c r="E34" t="s">
        <v>12</v>
      </c>
      <c r="F34">
        <v>54</v>
      </c>
      <c r="G34">
        <v>29.58</v>
      </c>
      <c r="H34">
        <v>1597.32</v>
      </c>
      <c r="I34" t="s">
        <v>22</v>
      </c>
      <c r="J34" t="s">
        <v>207</v>
      </c>
      <c r="K34">
        <v>3</v>
      </c>
    </row>
    <row r="35" spans="1:11" x14ac:dyDescent="0.3">
      <c r="A35" t="s">
        <v>64</v>
      </c>
      <c r="B35" s="31">
        <v>45720</v>
      </c>
      <c r="C35" t="s">
        <v>19</v>
      </c>
      <c r="D35" t="s">
        <v>20</v>
      </c>
      <c r="E35" t="s">
        <v>30</v>
      </c>
      <c r="F35">
        <v>87</v>
      </c>
      <c r="G35">
        <v>15.54</v>
      </c>
      <c r="H35">
        <v>1351.98</v>
      </c>
      <c r="I35" t="s">
        <v>22</v>
      </c>
      <c r="J35" t="s">
        <v>207</v>
      </c>
      <c r="K35">
        <v>3</v>
      </c>
    </row>
    <row r="36" spans="1:11" x14ac:dyDescent="0.3">
      <c r="A36" t="s">
        <v>65</v>
      </c>
      <c r="B36" s="31">
        <v>45721</v>
      </c>
      <c r="C36" t="s">
        <v>40</v>
      </c>
      <c r="D36" t="s">
        <v>41</v>
      </c>
      <c r="E36" t="s">
        <v>12</v>
      </c>
      <c r="F36">
        <v>99</v>
      </c>
      <c r="G36">
        <v>32.979999999999997</v>
      </c>
      <c r="H36">
        <v>3265.0199999999995</v>
      </c>
      <c r="I36" t="s">
        <v>13</v>
      </c>
      <c r="J36" t="s">
        <v>207</v>
      </c>
      <c r="K36">
        <v>3</v>
      </c>
    </row>
    <row r="37" spans="1:11" x14ac:dyDescent="0.3">
      <c r="A37" t="s">
        <v>66</v>
      </c>
      <c r="B37" s="31">
        <v>45722</v>
      </c>
      <c r="C37" t="s">
        <v>10</v>
      </c>
      <c r="D37" t="s">
        <v>11</v>
      </c>
      <c r="E37" t="s">
        <v>48</v>
      </c>
      <c r="F37">
        <v>80</v>
      </c>
      <c r="G37">
        <v>47.19</v>
      </c>
      <c r="H37">
        <v>3775.2</v>
      </c>
      <c r="I37" t="s">
        <v>13</v>
      </c>
      <c r="J37" t="s">
        <v>207</v>
      </c>
      <c r="K37">
        <v>3</v>
      </c>
    </row>
    <row r="38" spans="1:11" x14ac:dyDescent="0.3">
      <c r="A38" t="s">
        <v>67</v>
      </c>
      <c r="B38" s="31">
        <v>45727</v>
      </c>
      <c r="C38" t="s">
        <v>19</v>
      </c>
      <c r="D38" t="s">
        <v>20</v>
      </c>
      <c r="E38" t="s">
        <v>21</v>
      </c>
      <c r="F38">
        <v>111</v>
      </c>
      <c r="G38">
        <v>15.69</v>
      </c>
      <c r="H38">
        <v>1741.59</v>
      </c>
      <c r="I38" t="s">
        <v>13</v>
      </c>
      <c r="J38" t="s">
        <v>207</v>
      </c>
      <c r="K38">
        <v>3</v>
      </c>
    </row>
    <row r="39" spans="1:11" x14ac:dyDescent="0.3">
      <c r="A39" t="s">
        <v>68</v>
      </c>
      <c r="B39" s="31">
        <v>45736</v>
      </c>
      <c r="C39" t="s">
        <v>40</v>
      </c>
      <c r="D39" t="s">
        <v>41</v>
      </c>
      <c r="E39" t="s">
        <v>21</v>
      </c>
      <c r="F39">
        <v>76</v>
      </c>
      <c r="G39">
        <v>36.58</v>
      </c>
      <c r="H39">
        <v>2780.08</v>
      </c>
      <c r="I39" t="s">
        <v>13</v>
      </c>
      <c r="J39" t="s">
        <v>207</v>
      </c>
      <c r="K39">
        <v>3</v>
      </c>
    </row>
    <row r="40" spans="1:11" x14ac:dyDescent="0.3">
      <c r="A40" t="s">
        <v>69</v>
      </c>
      <c r="B40" s="31">
        <v>45740</v>
      </c>
      <c r="C40" t="s">
        <v>15</v>
      </c>
      <c r="D40" t="s">
        <v>16</v>
      </c>
      <c r="E40" t="s">
        <v>28</v>
      </c>
      <c r="F40">
        <v>100</v>
      </c>
      <c r="G40">
        <v>18.64</v>
      </c>
      <c r="H40">
        <v>1864</v>
      </c>
      <c r="I40" t="s">
        <v>13</v>
      </c>
      <c r="J40" t="s">
        <v>207</v>
      </c>
      <c r="K40">
        <v>3</v>
      </c>
    </row>
    <row r="41" spans="1:11" x14ac:dyDescent="0.3">
      <c r="A41" t="s">
        <v>70</v>
      </c>
      <c r="B41" s="31">
        <v>45741</v>
      </c>
      <c r="C41" t="s">
        <v>40</v>
      </c>
      <c r="D41" t="s">
        <v>41</v>
      </c>
      <c r="E41" t="s">
        <v>28</v>
      </c>
      <c r="F41">
        <v>91</v>
      </c>
      <c r="G41">
        <v>34.799999999999997</v>
      </c>
      <c r="H41">
        <v>3166.7999999999997</v>
      </c>
      <c r="I41" t="s">
        <v>13</v>
      </c>
      <c r="J41" t="s">
        <v>207</v>
      </c>
      <c r="K41">
        <v>3</v>
      </c>
    </row>
    <row r="42" spans="1:11" x14ac:dyDescent="0.3">
      <c r="A42" t="s">
        <v>71</v>
      </c>
      <c r="B42" s="31">
        <v>45741</v>
      </c>
      <c r="C42" t="s">
        <v>10</v>
      </c>
      <c r="D42" t="s">
        <v>11</v>
      </c>
      <c r="E42" t="s">
        <v>45</v>
      </c>
      <c r="F42">
        <v>13</v>
      </c>
      <c r="G42">
        <v>47.32</v>
      </c>
      <c r="H42">
        <v>615.16</v>
      </c>
      <c r="I42" t="s">
        <v>42</v>
      </c>
      <c r="J42" t="s">
        <v>207</v>
      </c>
      <c r="K42">
        <v>3</v>
      </c>
    </row>
    <row r="43" spans="1:11" x14ac:dyDescent="0.3">
      <c r="A43" t="s">
        <v>72</v>
      </c>
      <c r="B43" s="31">
        <v>45741</v>
      </c>
      <c r="C43" t="s">
        <v>25</v>
      </c>
      <c r="D43" t="s">
        <v>26</v>
      </c>
      <c r="E43" t="s">
        <v>21</v>
      </c>
      <c r="F43">
        <v>13</v>
      </c>
      <c r="G43">
        <v>73.83</v>
      </c>
      <c r="H43">
        <v>959.79</v>
      </c>
      <c r="I43" t="s">
        <v>22</v>
      </c>
      <c r="J43" t="s">
        <v>207</v>
      </c>
      <c r="K43">
        <v>3</v>
      </c>
    </row>
    <row r="44" spans="1:11" x14ac:dyDescent="0.3">
      <c r="A44" t="s">
        <v>73</v>
      </c>
      <c r="B44" s="31">
        <v>45742</v>
      </c>
      <c r="C44" t="s">
        <v>25</v>
      </c>
      <c r="D44" t="s">
        <v>26</v>
      </c>
      <c r="E44" t="s">
        <v>48</v>
      </c>
      <c r="F44">
        <v>115</v>
      </c>
      <c r="G44">
        <v>69.150000000000006</v>
      </c>
      <c r="H44">
        <v>7952.2500000000009</v>
      </c>
      <c r="I44" t="s">
        <v>13</v>
      </c>
      <c r="J44" t="s">
        <v>207</v>
      </c>
      <c r="K44">
        <v>3</v>
      </c>
    </row>
    <row r="45" spans="1:11" x14ac:dyDescent="0.3">
      <c r="A45" t="s">
        <v>74</v>
      </c>
      <c r="B45" s="31">
        <v>45744</v>
      </c>
      <c r="C45" t="s">
        <v>15</v>
      </c>
      <c r="D45" t="s">
        <v>16</v>
      </c>
      <c r="E45" t="s">
        <v>21</v>
      </c>
      <c r="F45">
        <v>75</v>
      </c>
      <c r="G45">
        <v>19.489999999999998</v>
      </c>
      <c r="H45">
        <v>1461.7499999999998</v>
      </c>
      <c r="I45" t="s">
        <v>22</v>
      </c>
      <c r="J45" t="s">
        <v>207</v>
      </c>
      <c r="K45">
        <v>3</v>
      </c>
    </row>
    <row r="46" spans="1:11" x14ac:dyDescent="0.3">
      <c r="A46" t="s">
        <v>75</v>
      </c>
      <c r="B46" s="31">
        <v>45747</v>
      </c>
      <c r="C46" t="s">
        <v>33</v>
      </c>
      <c r="D46" t="s">
        <v>34</v>
      </c>
      <c r="E46" t="s">
        <v>48</v>
      </c>
      <c r="F46">
        <v>61</v>
      </c>
      <c r="G46">
        <v>29.67</v>
      </c>
      <c r="H46">
        <v>1809.8700000000001</v>
      </c>
      <c r="I46" t="s">
        <v>13</v>
      </c>
      <c r="J46" t="s">
        <v>207</v>
      </c>
      <c r="K46">
        <v>3</v>
      </c>
    </row>
    <row r="47" spans="1:11" x14ac:dyDescent="0.3">
      <c r="A47" t="s">
        <v>76</v>
      </c>
      <c r="B47" s="31">
        <v>45762</v>
      </c>
      <c r="C47" t="s">
        <v>25</v>
      </c>
      <c r="D47" t="s">
        <v>26</v>
      </c>
      <c r="E47" t="s">
        <v>48</v>
      </c>
      <c r="F47">
        <v>46</v>
      </c>
      <c r="G47">
        <v>67.45</v>
      </c>
      <c r="H47">
        <v>3102.7000000000003</v>
      </c>
      <c r="I47" t="s">
        <v>22</v>
      </c>
      <c r="J47" t="s">
        <v>208</v>
      </c>
      <c r="K47">
        <v>4</v>
      </c>
    </row>
    <row r="48" spans="1:11" x14ac:dyDescent="0.3">
      <c r="A48" t="s">
        <v>77</v>
      </c>
      <c r="B48" s="31">
        <v>45763</v>
      </c>
      <c r="C48" t="s">
        <v>40</v>
      </c>
      <c r="D48" t="s">
        <v>41</v>
      </c>
      <c r="E48" t="s">
        <v>28</v>
      </c>
      <c r="F48">
        <v>108</v>
      </c>
      <c r="G48">
        <v>34.14</v>
      </c>
      <c r="H48">
        <v>3687.12</v>
      </c>
      <c r="I48" t="s">
        <v>22</v>
      </c>
      <c r="J48" t="s">
        <v>208</v>
      </c>
      <c r="K48">
        <v>4</v>
      </c>
    </row>
    <row r="49" spans="1:11" x14ac:dyDescent="0.3">
      <c r="A49" t="s">
        <v>78</v>
      </c>
      <c r="B49" s="31">
        <v>45767</v>
      </c>
      <c r="C49" t="s">
        <v>33</v>
      </c>
      <c r="D49" t="s">
        <v>34</v>
      </c>
      <c r="E49" t="s">
        <v>21</v>
      </c>
      <c r="F49">
        <v>54</v>
      </c>
      <c r="G49">
        <v>31.53</v>
      </c>
      <c r="H49">
        <v>1702.6200000000001</v>
      </c>
      <c r="I49" t="s">
        <v>17</v>
      </c>
      <c r="J49" t="s">
        <v>208</v>
      </c>
      <c r="K49">
        <v>4</v>
      </c>
    </row>
    <row r="50" spans="1:11" x14ac:dyDescent="0.3">
      <c r="A50" t="s">
        <v>79</v>
      </c>
      <c r="B50" s="31">
        <v>45767</v>
      </c>
      <c r="C50" t="s">
        <v>19</v>
      </c>
      <c r="D50" t="s">
        <v>20</v>
      </c>
      <c r="E50" t="s">
        <v>28</v>
      </c>
      <c r="F50">
        <v>52</v>
      </c>
      <c r="G50">
        <v>14.82</v>
      </c>
      <c r="H50">
        <v>770.64</v>
      </c>
      <c r="I50" t="s">
        <v>13</v>
      </c>
      <c r="J50" t="s">
        <v>208</v>
      </c>
      <c r="K50">
        <v>4</v>
      </c>
    </row>
    <row r="51" spans="1:11" x14ac:dyDescent="0.3">
      <c r="A51" t="s">
        <v>80</v>
      </c>
      <c r="B51" s="31">
        <v>45775</v>
      </c>
      <c r="C51" t="s">
        <v>33</v>
      </c>
      <c r="D51" t="s">
        <v>34</v>
      </c>
      <c r="E51" t="s">
        <v>21</v>
      </c>
      <c r="F51">
        <v>19</v>
      </c>
      <c r="G51">
        <v>30.56</v>
      </c>
      <c r="H51">
        <v>580.64</v>
      </c>
      <c r="I51" t="s">
        <v>13</v>
      </c>
      <c r="J51" t="s">
        <v>208</v>
      </c>
      <c r="K51">
        <v>4</v>
      </c>
    </row>
    <row r="52" spans="1:11" x14ac:dyDescent="0.3">
      <c r="A52" t="s">
        <v>81</v>
      </c>
      <c r="B52" s="31">
        <v>45779</v>
      </c>
      <c r="C52" t="s">
        <v>10</v>
      </c>
      <c r="D52" t="s">
        <v>11</v>
      </c>
      <c r="E52" t="s">
        <v>28</v>
      </c>
      <c r="F52">
        <v>71</v>
      </c>
      <c r="G52">
        <v>47.65</v>
      </c>
      <c r="H52">
        <v>3383.15</v>
      </c>
      <c r="I52" t="s">
        <v>13</v>
      </c>
      <c r="J52" t="s">
        <v>209</v>
      </c>
      <c r="K52">
        <v>5</v>
      </c>
    </row>
    <row r="53" spans="1:11" x14ac:dyDescent="0.3">
      <c r="A53" t="s">
        <v>82</v>
      </c>
      <c r="B53" s="31">
        <v>45780</v>
      </c>
      <c r="C53" t="s">
        <v>25</v>
      </c>
      <c r="D53" t="s">
        <v>26</v>
      </c>
      <c r="E53" t="s">
        <v>28</v>
      </c>
      <c r="F53">
        <v>95</v>
      </c>
      <c r="G53">
        <v>70.14</v>
      </c>
      <c r="H53">
        <v>6663.3</v>
      </c>
      <c r="I53" t="s">
        <v>13</v>
      </c>
      <c r="J53" t="s">
        <v>209</v>
      </c>
      <c r="K53">
        <v>5</v>
      </c>
    </row>
    <row r="54" spans="1:11" x14ac:dyDescent="0.3">
      <c r="A54" t="s">
        <v>83</v>
      </c>
      <c r="B54" s="31">
        <v>45782</v>
      </c>
      <c r="C54" t="s">
        <v>10</v>
      </c>
      <c r="D54" t="s">
        <v>11</v>
      </c>
      <c r="E54" t="s">
        <v>48</v>
      </c>
      <c r="F54">
        <v>10</v>
      </c>
      <c r="G54">
        <v>54.17</v>
      </c>
      <c r="H54">
        <v>541.70000000000005</v>
      </c>
      <c r="I54" t="s">
        <v>17</v>
      </c>
      <c r="J54" t="s">
        <v>209</v>
      </c>
      <c r="K54">
        <v>5</v>
      </c>
    </row>
    <row r="55" spans="1:11" x14ac:dyDescent="0.3">
      <c r="A55" t="s">
        <v>84</v>
      </c>
      <c r="B55" s="31">
        <v>45782</v>
      </c>
      <c r="C55" t="s">
        <v>25</v>
      </c>
      <c r="D55" t="s">
        <v>26</v>
      </c>
      <c r="E55" t="s">
        <v>48</v>
      </c>
      <c r="F55">
        <v>57</v>
      </c>
      <c r="G55">
        <v>67.900000000000006</v>
      </c>
      <c r="H55">
        <v>3870.3</v>
      </c>
      <c r="I55" t="s">
        <v>13</v>
      </c>
      <c r="J55" t="s">
        <v>209</v>
      </c>
      <c r="K55">
        <v>5</v>
      </c>
    </row>
    <row r="56" spans="1:11" x14ac:dyDescent="0.3">
      <c r="A56" t="s">
        <v>85</v>
      </c>
      <c r="B56" s="31">
        <v>45782</v>
      </c>
      <c r="C56" t="s">
        <v>40</v>
      </c>
      <c r="D56" t="s">
        <v>41</v>
      </c>
      <c r="E56" t="s">
        <v>48</v>
      </c>
      <c r="F56">
        <v>59</v>
      </c>
      <c r="G56">
        <v>31.62</v>
      </c>
      <c r="H56">
        <v>1865.5800000000002</v>
      </c>
      <c r="I56" t="s">
        <v>22</v>
      </c>
      <c r="J56" t="s">
        <v>209</v>
      </c>
      <c r="K56">
        <v>5</v>
      </c>
    </row>
    <row r="57" spans="1:11" x14ac:dyDescent="0.3">
      <c r="A57" t="s">
        <v>86</v>
      </c>
      <c r="B57" s="31">
        <v>45783</v>
      </c>
      <c r="C57" t="s">
        <v>19</v>
      </c>
      <c r="D57" t="s">
        <v>20</v>
      </c>
      <c r="E57" t="s">
        <v>21</v>
      </c>
      <c r="F57">
        <v>67</v>
      </c>
      <c r="G57">
        <v>13.98</v>
      </c>
      <c r="H57">
        <v>936.66000000000008</v>
      </c>
      <c r="I57" t="s">
        <v>13</v>
      </c>
      <c r="J57" t="s">
        <v>209</v>
      </c>
      <c r="K57">
        <v>5</v>
      </c>
    </row>
    <row r="58" spans="1:11" x14ac:dyDescent="0.3">
      <c r="A58" t="s">
        <v>87</v>
      </c>
      <c r="B58" s="31">
        <v>45784</v>
      </c>
      <c r="C58" t="s">
        <v>15</v>
      </c>
      <c r="D58" t="s">
        <v>16</v>
      </c>
      <c r="E58" t="s">
        <v>48</v>
      </c>
      <c r="F58">
        <v>43</v>
      </c>
      <c r="G58">
        <v>19.79</v>
      </c>
      <c r="H58">
        <v>850.96999999999991</v>
      </c>
      <c r="I58" t="s">
        <v>13</v>
      </c>
      <c r="J58" t="s">
        <v>209</v>
      </c>
      <c r="K58">
        <v>5</v>
      </c>
    </row>
    <row r="59" spans="1:11" x14ac:dyDescent="0.3">
      <c r="A59" t="s">
        <v>88</v>
      </c>
      <c r="B59" s="31">
        <v>45786</v>
      </c>
      <c r="C59" t="s">
        <v>10</v>
      </c>
      <c r="D59" t="s">
        <v>11</v>
      </c>
      <c r="E59" t="s">
        <v>21</v>
      </c>
      <c r="F59">
        <v>34</v>
      </c>
      <c r="G59">
        <v>48.63</v>
      </c>
      <c r="H59">
        <v>1653.42</v>
      </c>
      <c r="I59" t="s">
        <v>22</v>
      </c>
      <c r="J59" t="s">
        <v>209</v>
      </c>
      <c r="K59">
        <v>5</v>
      </c>
    </row>
    <row r="60" spans="1:11" x14ac:dyDescent="0.3">
      <c r="A60" t="s">
        <v>89</v>
      </c>
      <c r="B60" s="31">
        <v>45788</v>
      </c>
      <c r="C60" t="s">
        <v>19</v>
      </c>
      <c r="D60" t="s">
        <v>20</v>
      </c>
      <c r="E60" t="s">
        <v>12</v>
      </c>
      <c r="F60">
        <v>10</v>
      </c>
      <c r="G60">
        <v>14.76</v>
      </c>
      <c r="H60">
        <v>147.6</v>
      </c>
      <c r="I60" t="s">
        <v>17</v>
      </c>
      <c r="J60" t="s">
        <v>209</v>
      </c>
      <c r="K60">
        <v>5</v>
      </c>
    </row>
    <row r="61" spans="1:11" x14ac:dyDescent="0.3">
      <c r="A61" t="s">
        <v>90</v>
      </c>
      <c r="B61" s="31">
        <v>45792</v>
      </c>
      <c r="C61" t="s">
        <v>33</v>
      </c>
      <c r="D61" t="s">
        <v>34</v>
      </c>
      <c r="E61" t="s">
        <v>12</v>
      </c>
      <c r="F61">
        <v>74</v>
      </c>
      <c r="G61">
        <v>31.71</v>
      </c>
      <c r="H61">
        <v>2346.54</v>
      </c>
      <c r="I61" t="s">
        <v>17</v>
      </c>
      <c r="J61" t="s">
        <v>209</v>
      </c>
      <c r="K61">
        <v>5</v>
      </c>
    </row>
    <row r="62" spans="1:11" x14ac:dyDescent="0.3">
      <c r="A62" t="s">
        <v>91</v>
      </c>
      <c r="B62" s="31">
        <v>45793</v>
      </c>
      <c r="C62" t="s">
        <v>19</v>
      </c>
      <c r="D62" t="s">
        <v>20</v>
      </c>
      <c r="E62" t="s">
        <v>12</v>
      </c>
      <c r="F62">
        <v>78</v>
      </c>
      <c r="G62">
        <v>13.65</v>
      </c>
      <c r="H62">
        <v>1064.7</v>
      </c>
      <c r="I62" t="s">
        <v>42</v>
      </c>
      <c r="J62" t="s">
        <v>209</v>
      </c>
      <c r="K62">
        <v>5</v>
      </c>
    </row>
    <row r="63" spans="1:11" x14ac:dyDescent="0.3">
      <c r="A63" t="s">
        <v>92</v>
      </c>
      <c r="B63" s="31">
        <v>45793</v>
      </c>
      <c r="C63" t="s">
        <v>33</v>
      </c>
      <c r="D63" t="s">
        <v>34</v>
      </c>
      <c r="E63" t="s">
        <v>28</v>
      </c>
      <c r="F63">
        <v>118</v>
      </c>
      <c r="G63">
        <v>26.88</v>
      </c>
      <c r="H63">
        <v>3171.8399999999997</v>
      </c>
      <c r="I63" t="s">
        <v>22</v>
      </c>
      <c r="J63" t="s">
        <v>209</v>
      </c>
      <c r="K63">
        <v>5</v>
      </c>
    </row>
    <row r="64" spans="1:11" x14ac:dyDescent="0.3">
      <c r="A64" t="s">
        <v>93</v>
      </c>
      <c r="B64" s="31">
        <v>45793</v>
      </c>
      <c r="C64" t="s">
        <v>19</v>
      </c>
      <c r="D64" t="s">
        <v>20</v>
      </c>
      <c r="E64" t="s">
        <v>21</v>
      </c>
      <c r="F64">
        <v>65</v>
      </c>
      <c r="G64">
        <v>14.27</v>
      </c>
      <c r="H64">
        <v>927.55</v>
      </c>
      <c r="I64" t="s">
        <v>17</v>
      </c>
      <c r="J64" t="s">
        <v>209</v>
      </c>
      <c r="K64">
        <v>5</v>
      </c>
    </row>
    <row r="65" spans="1:11" x14ac:dyDescent="0.3">
      <c r="A65" t="s">
        <v>94</v>
      </c>
      <c r="B65" s="31">
        <v>45793</v>
      </c>
      <c r="C65" t="s">
        <v>15</v>
      </c>
      <c r="D65" t="s">
        <v>16</v>
      </c>
      <c r="E65" t="s">
        <v>48</v>
      </c>
      <c r="F65">
        <v>112</v>
      </c>
      <c r="G65">
        <v>20.46</v>
      </c>
      <c r="H65">
        <v>2291.52</v>
      </c>
      <c r="I65" t="s">
        <v>13</v>
      </c>
      <c r="J65" t="s">
        <v>209</v>
      </c>
      <c r="K65">
        <v>5</v>
      </c>
    </row>
    <row r="66" spans="1:11" x14ac:dyDescent="0.3">
      <c r="A66" t="s">
        <v>95</v>
      </c>
      <c r="B66" s="31">
        <v>45799</v>
      </c>
      <c r="C66" t="s">
        <v>19</v>
      </c>
      <c r="D66" t="s">
        <v>20</v>
      </c>
      <c r="E66" t="s">
        <v>21</v>
      </c>
      <c r="F66">
        <v>108</v>
      </c>
      <c r="G66">
        <v>13.67</v>
      </c>
      <c r="H66">
        <v>1476.36</v>
      </c>
      <c r="I66" t="s">
        <v>42</v>
      </c>
      <c r="J66" t="s">
        <v>209</v>
      </c>
      <c r="K66">
        <v>5</v>
      </c>
    </row>
    <row r="67" spans="1:11" x14ac:dyDescent="0.3">
      <c r="A67" t="s">
        <v>96</v>
      </c>
      <c r="B67" s="31">
        <v>45800</v>
      </c>
      <c r="C67" t="s">
        <v>40</v>
      </c>
      <c r="D67" t="s">
        <v>41</v>
      </c>
      <c r="E67" t="s">
        <v>21</v>
      </c>
      <c r="F67">
        <v>19</v>
      </c>
      <c r="G67">
        <v>33.24</v>
      </c>
      <c r="H67">
        <v>631.56000000000006</v>
      </c>
      <c r="I67" t="s">
        <v>17</v>
      </c>
      <c r="J67" t="s">
        <v>209</v>
      </c>
      <c r="K67">
        <v>5</v>
      </c>
    </row>
    <row r="68" spans="1:11" x14ac:dyDescent="0.3">
      <c r="A68" t="s">
        <v>97</v>
      </c>
      <c r="B68" s="31">
        <v>45800</v>
      </c>
      <c r="C68" t="s">
        <v>25</v>
      </c>
      <c r="D68" t="s">
        <v>26</v>
      </c>
      <c r="E68" t="s">
        <v>48</v>
      </c>
      <c r="F68">
        <v>61</v>
      </c>
      <c r="G68">
        <v>70.58</v>
      </c>
      <c r="H68">
        <v>4305.38</v>
      </c>
      <c r="I68" t="s">
        <v>17</v>
      </c>
      <c r="J68" t="s">
        <v>209</v>
      </c>
      <c r="K68">
        <v>5</v>
      </c>
    </row>
    <row r="69" spans="1:11" x14ac:dyDescent="0.3">
      <c r="A69" t="s">
        <v>98</v>
      </c>
      <c r="B69" s="31">
        <v>45800</v>
      </c>
      <c r="C69" t="s">
        <v>40</v>
      </c>
      <c r="D69" t="s">
        <v>41</v>
      </c>
      <c r="E69" t="s">
        <v>21</v>
      </c>
      <c r="F69">
        <v>20</v>
      </c>
      <c r="G69">
        <v>33.409999999999997</v>
      </c>
      <c r="H69">
        <v>668.19999999999993</v>
      </c>
      <c r="I69" t="s">
        <v>22</v>
      </c>
      <c r="J69" t="s">
        <v>209</v>
      </c>
      <c r="K69">
        <v>5</v>
      </c>
    </row>
    <row r="70" spans="1:11" x14ac:dyDescent="0.3">
      <c r="A70" t="s">
        <v>99</v>
      </c>
      <c r="B70" s="31">
        <v>45802</v>
      </c>
      <c r="C70" t="s">
        <v>33</v>
      </c>
      <c r="D70" t="s">
        <v>34</v>
      </c>
      <c r="E70" t="s">
        <v>21</v>
      </c>
      <c r="F70">
        <v>53</v>
      </c>
      <c r="G70">
        <v>27.74</v>
      </c>
      <c r="H70">
        <v>1470.22</v>
      </c>
      <c r="I70" t="s">
        <v>22</v>
      </c>
      <c r="J70" t="s">
        <v>209</v>
      </c>
      <c r="K70">
        <v>5</v>
      </c>
    </row>
    <row r="71" spans="1:11" x14ac:dyDescent="0.3">
      <c r="A71" t="s">
        <v>100</v>
      </c>
      <c r="B71" s="31">
        <v>45804</v>
      </c>
      <c r="C71" t="s">
        <v>10</v>
      </c>
      <c r="D71" t="s">
        <v>11</v>
      </c>
      <c r="E71" t="s">
        <v>28</v>
      </c>
      <c r="F71">
        <v>84</v>
      </c>
      <c r="G71">
        <v>51.42</v>
      </c>
      <c r="H71">
        <v>4319.28</v>
      </c>
      <c r="I71" t="s">
        <v>13</v>
      </c>
      <c r="J71" t="s">
        <v>209</v>
      </c>
      <c r="K71">
        <v>5</v>
      </c>
    </row>
    <row r="72" spans="1:11" x14ac:dyDescent="0.3">
      <c r="A72" t="s">
        <v>101</v>
      </c>
      <c r="B72" s="31">
        <v>45807</v>
      </c>
      <c r="C72" t="s">
        <v>33</v>
      </c>
      <c r="D72" t="s">
        <v>34</v>
      </c>
      <c r="E72" t="s">
        <v>12</v>
      </c>
      <c r="F72">
        <v>63</v>
      </c>
      <c r="G72">
        <v>31.27</v>
      </c>
      <c r="H72">
        <v>1970.01</v>
      </c>
      <c r="I72" t="s">
        <v>42</v>
      </c>
      <c r="J72" t="s">
        <v>209</v>
      </c>
      <c r="K72">
        <v>5</v>
      </c>
    </row>
    <row r="73" spans="1:11" x14ac:dyDescent="0.3">
      <c r="A73" t="s">
        <v>102</v>
      </c>
      <c r="B73" s="31">
        <v>45810</v>
      </c>
      <c r="C73" t="s">
        <v>15</v>
      </c>
      <c r="D73" t="s">
        <v>16</v>
      </c>
      <c r="E73" t="s">
        <v>28</v>
      </c>
      <c r="F73">
        <v>35</v>
      </c>
      <c r="G73">
        <v>17.649999999999999</v>
      </c>
      <c r="H73">
        <v>617.75</v>
      </c>
      <c r="I73" t="s">
        <v>17</v>
      </c>
      <c r="J73" t="s">
        <v>210</v>
      </c>
      <c r="K73">
        <v>6</v>
      </c>
    </row>
    <row r="74" spans="1:11" x14ac:dyDescent="0.3">
      <c r="A74" t="s">
        <v>103</v>
      </c>
      <c r="B74" s="31">
        <v>45811</v>
      </c>
      <c r="C74" t="s">
        <v>33</v>
      </c>
      <c r="D74" t="s">
        <v>34</v>
      </c>
      <c r="E74" t="s">
        <v>28</v>
      </c>
      <c r="F74">
        <v>62</v>
      </c>
      <c r="G74">
        <v>28.43</v>
      </c>
      <c r="H74">
        <v>1762.66</v>
      </c>
      <c r="I74" t="s">
        <v>22</v>
      </c>
      <c r="J74" t="s">
        <v>210</v>
      </c>
      <c r="K74">
        <v>6</v>
      </c>
    </row>
    <row r="75" spans="1:11" x14ac:dyDescent="0.3">
      <c r="A75" t="s">
        <v>104</v>
      </c>
      <c r="B75" s="31">
        <v>45817</v>
      </c>
      <c r="C75" t="s">
        <v>40</v>
      </c>
      <c r="D75" t="s">
        <v>41</v>
      </c>
      <c r="E75" t="s">
        <v>30</v>
      </c>
      <c r="F75">
        <v>93</v>
      </c>
      <c r="G75">
        <v>32.79</v>
      </c>
      <c r="H75">
        <v>3049.47</v>
      </c>
      <c r="I75" t="s">
        <v>17</v>
      </c>
      <c r="J75" t="s">
        <v>210</v>
      </c>
      <c r="K75">
        <v>6</v>
      </c>
    </row>
    <row r="76" spans="1:11" x14ac:dyDescent="0.3">
      <c r="A76" t="s">
        <v>105</v>
      </c>
      <c r="B76" s="31">
        <v>45817</v>
      </c>
      <c r="C76" t="s">
        <v>33</v>
      </c>
      <c r="D76" t="s">
        <v>34</v>
      </c>
      <c r="E76" t="s">
        <v>21</v>
      </c>
      <c r="F76">
        <v>62</v>
      </c>
      <c r="G76">
        <v>27.12</v>
      </c>
      <c r="H76">
        <v>1681.44</v>
      </c>
      <c r="I76" t="s">
        <v>42</v>
      </c>
      <c r="J76" t="s">
        <v>210</v>
      </c>
      <c r="K76">
        <v>6</v>
      </c>
    </row>
    <row r="77" spans="1:11" x14ac:dyDescent="0.3">
      <c r="A77" t="s">
        <v>106</v>
      </c>
      <c r="B77" s="31">
        <v>45823</v>
      </c>
      <c r="C77" t="s">
        <v>33</v>
      </c>
      <c r="D77" t="s">
        <v>34</v>
      </c>
      <c r="E77" t="s">
        <v>21</v>
      </c>
      <c r="F77">
        <v>21</v>
      </c>
      <c r="G77">
        <v>27.88</v>
      </c>
      <c r="H77">
        <v>585.48</v>
      </c>
      <c r="I77" t="s">
        <v>22</v>
      </c>
      <c r="J77" t="s">
        <v>210</v>
      </c>
      <c r="K77">
        <v>6</v>
      </c>
    </row>
    <row r="78" spans="1:11" x14ac:dyDescent="0.3">
      <c r="A78" t="s">
        <v>107</v>
      </c>
      <c r="B78" s="31">
        <v>45824</v>
      </c>
      <c r="C78" t="s">
        <v>19</v>
      </c>
      <c r="D78" t="s">
        <v>20</v>
      </c>
      <c r="E78" t="s">
        <v>21</v>
      </c>
      <c r="F78">
        <v>14</v>
      </c>
      <c r="G78">
        <v>15.55</v>
      </c>
      <c r="H78">
        <v>217.70000000000002</v>
      </c>
      <c r="I78" t="s">
        <v>13</v>
      </c>
      <c r="J78" t="s">
        <v>210</v>
      </c>
      <c r="K78">
        <v>6</v>
      </c>
    </row>
    <row r="79" spans="1:11" x14ac:dyDescent="0.3">
      <c r="A79" t="s">
        <v>108</v>
      </c>
      <c r="B79" s="31">
        <v>45827</v>
      </c>
      <c r="C79" t="s">
        <v>19</v>
      </c>
      <c r="D79" t="s">
        <v>20</v>
      </c>
      <c r="E79" t="s">
        <v>21</v>
      </c>
      <c r="F79">
        <v>43</v>
      </c>
      <c r="G79">
        <v>13.8</v>
      </c>
      <c r="H79">
        <v>593.4</v>
      </c>
      <c r="I79" t="s">
        <v>42</v>
      </c>
      <c r="J79" t="s">
        <v>210</v>
      </c>
      <c r="K79">
        <v>6</v>
      </c>
    </row>
    <row r="80" spans="1:11" x14ac:dyDescent="0.3">
      <c r="A80" t="s">
        <v>109</v>
      </c>
      <c r="B80" s="31">
        <v>45830</v>
      </c>
      <c r="C80" t="s">
        <v>19</v>
      </c>
      <c r="D80" t="s">
        <v>20</v>
      </c>
      <c r="E80" t="s">
        <v>21</v>
      </c>
      <c r="F80">
        <v>22</v>
      </c>
      <c r="G80">
        <v>14.31</v>
      </c>
      <c r="H80">
        <v>314.82</v>
      </c>
      <c r="I80" t="s">
        <v>13</v>
      </c>
      <c r="J80" t="s">
        <v>210</v>
      </c>
      <c r="K80">
        <v>6</v>
      </c>
    </row>
    <row r="81" spans="1:11" x14ac:dyDescent="0.3">
      <c r="A81" t="s">
        <v>110</v>
      </c>
      <c r="B81" s="31">
        <v>45842</v>
      </c>
      <c r="C81" t="s">
        <v>10</v>
      </c>
      <c r="D81" t="s">
        <v>11</v>
      </c>
      <c r="E81" t="s">
        <v>28</v>
      </c>
      <c r="F81">
        <v>100</v>
      </c>
      <c r="G81">
        <v>50.73</v>
      </c>
      <c r="H81">
        <v>5073</v>
      </c>
      <c r="I81" t="s">
        <v>13</v>
      </c>
      <c r="J81" t="s">
        <v>211</v>
      </c>
      <c r="K81">
        <v>7</v>
      </c>
    </row>
    <row r="82" spans="1:11" x14ac:dyDescent="0.3">
      <c r="A82" t="s">
        <v>111</v>
      </c>
      <c r="B82" s="31">
        <v>45843</v>
      </c>
      <c r="C82" t="s">
        <v>25</v>
      </c>
      <c r="D82" t="s">
        <v>26</v>
      </c>
      <c r="E82" t="s">
        <v>21</v>
      </c>
      <c r="F82">
        <v>40</v>
      </c>
      <c r="G82">
        <v>73.16</v>
      </c>
      <c r="H82">
        <v>2926.3999999999996</v>
      </c>
      <c r="I82" t="s">
        <v>42</v>
      </c>
      <c r="J82" t="s">
        <v>211</v>
      </c>
      <c r="K82">
        <v>7</v>
      </c>
    </row>
    <row r="83" spans="1:11" x14ac:dyDescent="0.3">
      <c r="A83" t="s">
        <v>112</v>
      </c>
      <c r="B83" s="31">
        <v>45844</v>
      </c>
      <c r="C83" t="s">
        <v>10</v>
      </c>
      <c r="D83" t="s">
        <v>11</v>
      </c>
      <c r="E83" t="s">
        <v>28</v>
      </c>
      <c r="F83">
        <v>36</v>
      </c>
      <c r="G83">
        <v>52.03</v>
      </c>
      <c r="H83">
        <v>1873.08</v>
      </c>
      <c r="I83" t="s">
        <v>22</v>
      </c>
      <c r="J83" t="s">
        <v>211</v>
      </c>
      <c r="K83">
        <v>7</v>
      </c>
    </row>
    <row r="84" spans="1:11" x14ac:dyDescent="0.3">
      <c r="A84" t="s">
        <v>113</v>
      </c>
      <c r="B84" s="31">
        <v>45846</v>
      </c>
      <c r="C84" t="s">
        <v>10</v>
      </c>
      <c r="D84" t="s">
        <v>11</v>
      </c>
      <c r="E84" t="s">
        <v>48</v>
      </c>
      <c r="F84">
        <v>105</v>
      </c>
      <c r="G84">
        <v>52.5</v>
      </c>
      <c r="H84">
        <v>5512.5</v>
      </c>
      <c r="I84" t="s">
        <v>17</v>
      </c>
      <c r="J84" t="s">
        <v>211</v>
      </c>
      <c r="K84">
        <v>7</v>
      </c>
    </row>
    <row r="85" spans="1:11" x14ac:dyDescent="0.3">
      <c r="A85" t="s">
        <v>114</v>
      </c>
      <c r="B85" s="31">
        <v>45847</v>
      </c>
      <c r="C85" t="s">
        <v>25</v>
      </c>
      <c r="D85" t="s">
        <v>26</v>
      </c>
      <c r="E85" t="s">
        <v>21</v>
      </c>
      <c r="F85">
        <v>116</v>
      </c>
      <c r="G85">
        <v>68.81</v>
      </c>
      <c r="H85">
        <v>7981.96</v>
      </c>
      <c r="I85" t="s">
        <v>13</v>
      </c>
      <c r="J85" t="s">
        <v>211</v>
      </c>
      <c r="K85">
        <v>7</v>
      </c>
    </row>
    <row r="86" spans="1:11" x14ac:dyDescent="0.3">
      <c r="A86" t="s">
        <v>115</v>
      </c>
      <c r="B86" s="31">
        <v>45850</v>
      </c>
      <c r="C86" t="s">
        <v>40</v>
      </c>
      <c r="D86" t="s">
        <v>41</v>
      </c>
      <c r="E86" t="s">
        <v>30</v>
      </c>
      <c r="F86">
        <v>35</v>
      </c>
      <c r="G86">
        <v>30.89</v>
      </c>
      <c r="H86">
        <v>1081.1500000000001</v>
      </c>
      <c r="I86" t="s">
        <v>22</v>
      </c>
      <c r="J86" t="s">
        <v>211</v>
      </c>
      <c r="K86">
        <v>7</v>
      </c>
    </row>
    <row r="87" spans="1:11" x14ac:dyDescent="0.3">
      <c r="A87" t="s">
        <v>116</v>
      </c>
      <c r="B87" s="31">
        <v>45852</v>
      </c>
      <c r="C87" t="s">
        <v>25</v>
      </c>
      <c r="D87" t="s">
        <v>26</v>
      </c>
      <c r="E87" t="s">
        <v>21</v>
      </c>
      <c r="F87">
        <v>51</v>
      </c>
      <c r="G87">
        <v>66.14</v>
      </c>
      <c r="H87">
        <v>3373.14</v>
      </c>
      <c r="I87" t="s">
        <v>17</v>
      </c>
      <c r="J87" t="s">
        <v>211</v>
      </c>
      <c r="K87">
        <v>7</v>
      </c>
    </row>
    <row r="88" spans="1:11" x14ac:dyDescent="0.3">
      <c r="A88" t="s">
        <v>117</v>
      </c>
      <c r="B88" s="31">
        <v>45866</v>
      </c>
      <c r="C88" t="s">
        <v>40</v>
      </c>
      <c r="D88" t="s">
        <v>41</v>
      </c>
      <c r="E88" t="s">
        <v>48</v>
      </c>
      <c r="F88">
        <v>40</v>
      </c>
      <c r="G88">
        <v>34.82</v>
      </c>
      <c r="H88">
        <v>1392.8</v>
      </c>
      <c r="I88" t="s">
        <v>22</v>
      </c>
      <c r="J88" t="s">
        <v>211</v>
      </c>
      <c r="K88">
        <v>7</v>
      </c>
    </row>
    <row r="89" spans="1:11" x14ac:dyDescent="0.3">
      <c r="A89" t="s">
        <v>118</v>
      </c>
      <c r="B89" s="31">
        <v>45867</v>
      </c>
      <c r="C89" t="s">
        <v>40</v>
      </c>
      <c r="D89" t="s">
        <v>41</v>
      </c>
      <c r="E89" t="s">
        <v>12</v>
      </c>
      <c r="F89">
        <v>70</v>
      </c>
      <c r="G89">
        <v>32.26</v>
      </c>
      <c r="H89">
        <v>2258.1999999999998</v>
      </c>
      <c r="I89" t="s">
        <v>13</v>
      </c>
      <c r="J89" t="s">
        <v>211</v>
      </c>
      <c r="K89">
        <v>7</v>
      </c>
    </row>
    <row r="90" spans="1:11" x14ac:dyDescent="0.3">
      <c r="A90" t="s">
        <v>119</v>
      </c>
      <c r="B90" s="31">
        <v>45867</v>
      </c>
      <c r="C90" t="s">
        <v>25</v>
      </c>
      <c r="D90" t="s">
        <v>26</v>
      </c>
      <c r="E90" t="s">
        <v>28</v>
      </c>
      <c r="F90">
        <v>23</v>
      </c>
      <c r="G90">
        <v>72.900000000000006</v>
      </c>
      <c r="H90">
        <v>1676.7</v>
      </c>
      <c r="I90" t="s">
        <v>13</v>
      </c>
      <c r="J90" t="s">
        <v>211</v>
      </c>
      <c r="K90">
        <v>7</v>
      </c>
    </row>
    <row r="91" spans="1:11" x14ac:dyDescent="0.3">
      <c r="A91" t="s">
        <v>120</v>
      </c>
      <c r="B91" s="31">
        <v>45868</v>
      </c>
      <c r="C91" t="s">
        <v>15</v>
      </c>
      <c r="D91" t="s">
        <v>16</v>
      </c>
      <c r="E91" t="s">
        <v>45</v>
      </c>
      <c r="F91">
        <v>113</v>
      </c>
      <c r="G91">
        <v>17.989999999999998</v>
      </c>
      <c r="H91">
        <v>2032.87</v>
      </c>
      <c r="I91" t="s">
        <v>13</v>
      </c>
      <c r="J91" t="s">
        <v>211</v>
      </c>
      <c r="K91">
        <v>7</v>
      </c>
    </row>
    <row r="92" spans="1:11" x14ac:dyDescent="0.3">
      <c r="A92" t="s">
        <v>121</v>
      </c>
      <c r="B92" s="31">
        <v>45870</v>
      </c>
      <c r="C92" t="s">
        <v>15</v>
      </c>
      <c r="D92" t="s">
        <v>16</v>
      </c>
      <c r="E92" t="s">
        <v>48</v>
      </c>
      <c r="F92">
        <v>101</v>
      </c>
      <c r="G92">
        <v>19.61</v>
      </c>
      <c r="H92">
        <v>1980.61</v>
      </c>
      <c r="I92" t="s">
        <v>13</v>
      </c>
      <c r="J92" t="s">
        <v>212</v>
      </c>
      <c r="K92">
        <v>8</v>
      </c>
    </row>
    <row r="93" spans="1:11" x14ac:dyDescent="0.3">
      <c r="A93" t="s">
        <v>122</v>
      </c>
      <c r="B93" s="31">
        <v>45872</v>
      </c>
      <c r="C93" t="s">
        <v>33</v>
      </c>
      <c r="D93" t="s">
        <v>34</v>
      </c>
      <c r="E93" t="s">
        <v>12</v>
      </c>
      <c r="F93">
        <v>79</v>
      </c>
      <c r="G93">
        <v>31.08</v>
      </c>
      <c r="H93">
        <v>2455.3199999999997</v>
      </c>
      <c r="I93" t="s">
        <v>17</v>
      </c>
      <c r="J93" t="s">
        <v>212</v>
      </c>
      <c r="K93">
        <v>8</v>
      </c>
    </row>
    <row r="94" spans="1:11" x14ac:dyDescent="0.3">
      <c r="A94" t="s">
        <v>123</v>
      </c>
      <c r="B94" s="31">
        <v>45875</v>
      </c>
      <c r="C94" t="s">
        <v>15</v>
      </c>
      <c r="D94" t="s">
        <v>16</v>
      </c>
      <c r="E94" t="s">
        <v>48</v>
      </c>
      <c r="F94">
        <v>55</v>
      </c>
      <c r="G94">
        <v>19.63</v>
      </c>
      <c r="H94">
        <v>1079.6499999999999</v>
      </c>
      <c r="I94" t="s">
        <v>13</v>
      </c>
      <c r="J94" t="s">
        <v>212</v>
      </c>
      <c r="K94">
        <v>8</v>
      </c>
    </row>
    <row r="95" spans="1:11" x14ac:dyDescent="0.3">
      <c r="A95" t="s">
        <v>124</v>
      </c>
      <c r="B95" s="31">
        <v>45881</v>
      </c>
      <c r="C95" t="s">
        <v>33</v>
      </c>
      <c r="D95" t="s">
        <v>34</v>
      </c>
      <c r="E95" t="s">
        <v>30</v>
      </c>
      <c r="F95">
        <v>24</v>
      </c>
      <c r="G95">
        <v>28.76</v>
      </c>
      <c r="H95">
        <v>690.24</v>
      </c>
      <c r="I95" t="s">
        <v>22</v>
      </c>
      <c r="J95" t="s">
        <v>212</v>
      </c>
      <c r="K95">
        <v>8</v>
      </c>
    </row>
    <row r="96" spans="1:11" x14ac:dyDescent="0.3">
      <c r="A96" t="s">
        <v>125</v>
      </c>
      <c r="B96" s="31">
        <v>45883</v>
      </c>
      <c r="C96" t="s">
        <v>19</v>
      </c>
      <c r="D96" t="s">
        <v>20</v>
      </c>
      <c r="E96" t="s">
        <v>12</v>
      </c>
      <c r="F96">
        <v>40</v>
      </c>
      <c r="G96">
        <v>14.06</v>
      </c>
      <c r="H96">
        <v>562.4</v>
      </c>
      <c r="I96" t="s">
        <v>13</v>
      </c>
      <c r="J96" t="s">
        <v>212</v>
      </c>
      <c r="K96">
        <v>8</v>
      </c>
    </row>
    <row r="97" spans="1:11" x14ac:dyDescent="0.3">
      <c r="A97" t="s">
        <v>126</v>
      </c>
      <c r="B97" s="31">
        <v>45884</v>
      </c>
      <c r="C97" t="s">
        <v>40</v>
      </c>
      <c r="D97" t="s">
        <v>41</v>
      </c>
      <c r="E97" t="s">
        <v>12</v>
      </c>
      <c r="F97">
        <v>75</v>
      </c>
      <c r="G97">
        <v>33.43</v>
      </c>
      <c r="H97">
        <v>2507.25</v>
      </c>
      <c r="I97" t="s">
        <v>42</v>
      </c>
      <c r="J97" t="s">
        <v>212</v>
      </c>
      <c r="K97">
        <v>8</v>
      </c>
    </row>
    <row r="98" spans="1:11" x14ac:dyDescent="0.3">
      <c r="A98" t="s">
        <v>127</v>
      </c>
      <c r="B98" s="31">
        <v>45884</v>
      </c>
      <c r="C98" t="s">
        <v>33</v>
      </c>
      <c r="D98" t="s">
        <v>34</v>
      </c>
      <c r="E98" t="s">
        <v>45</v>
      </c>
      <c r="F98">
        <v>74</v>
      </c>
      <c r="G98">
        <v>28.99</v>
      </c>
      <c r="H98">
        <v>2145.2599999999998</v>
      </c>
      <c r="I98" t="s">
        <v>42</v>
      </c>
      <c r="J98" t="s">
        <v>212</v>
      </c>
      <c r="K98">
        <v>8</v>
      </c>
    </row>
    <row r="99" spans="1:11" x14ac:dyDescent="0.3">
      <c r="A99" t="s">
        <v>128</v>
      </c>
      <c r="B99" s="31">
        <v>45884</v>
      </c>
      <c r="C99" t="s">
        <v>25</v>
      </c>
      <c r="D99" t="s">
        <v>26</v>
      </c>
      <c r="E99" t="s">
        <v>45</v>
      </c>
      <c r="F99">
        <v>64</v>
      </c>
      <c r="G99">
        <v>65.72</v>
      </c>
      <c r="H99">
        <v>4206.08</v>
      </c>
      <c r="I99" t="s">
        <v>22</v>
      </c>
      <c r="J99" t="s">
        <v>212</v>
      </c>
      <c r="K99">
        <v>8</v>
      </c>
    </row>
    <row r="100" spans="1:11" x14ac:dyDescent="0.3">
      <c r="A100" t="s">
        <v>129</v>
      </c>
      <c r="B100" s="31">
        <v>45886</v>
      </c>
      <c r="C100" t="s">
        <v>10</v>
      </c>
      <c r="D100" t="s">
        <v>11</v>
      </c>
      <c r="E100" t="s">
        <v>12</v>
      </c>
      <c r="F100">
        <v>70</v>
      </c>
      <c r="G100">
        <v>49.92</v>
      </c>
      <c r="H100">
        <v>3494.4</v>
      </c>
      <c r="I100" t="s">
        <v>17</v>
      </c>
      <c r="J100" t="s">
        <v>212</v>
      </c>
      <c r="K100">
        <v>8</v>
      </c>
    </row>
    <row r="101" spans="1:11" x14ac:dyDescent="0.3">
      <c r="A101" t="s">
        <v>130</v>
      </c>
      <c r="B101" s="31">
        <v>45889</v>
      </c>
      <c r="C101" t="s">
        <v>19</v>
      </c>
      <c r="D101" t="s">
        <v>20</v>
      </c>
      <c r="E101" t="s">
        <v>21</v>
      </c>
      <c r="F101">
        <v>18</v>
      </c>
      <c r="G101">
        <v>14.25</v>
      </c>
      <c r="H101">
        <v>256.5</v>
      </c>
      <c r="I101" t="s">
        <v>22</v>
      </c>
      <c r="J101" t="s">
        <v>212</v>
      </c>
      <c r="K101">
        <v>8</v>
      </c>
    </row>
    <row r="102" spans="1:11" x14ac:dyDescent="0.3">
      <c r="A102" t="s">
        <v>131</v>
      </c>
      <c r="B102" s="31">
        <v>45890</v>
      </c>
      <c r="C102" t="s">
        <v>25</v>
      </c>
      <c r="D102" t="s">
        <v>26</v>
      </c>
      <c r="E102" t="s">
        <v>28</v>
      </c>
      <c r="F102">
        <v>103</v>
      </c>
      <c r="G102">
        <v>74.69</v>
      </c>
      <c r="H102">
        <v>7693.07</v>
      </c>
      <c r="I102" t="s">
        <v>22</v>
      </c>
      <c r="J102" t="s">
        <v>212</v>
      </c>
      <c r="K102">
        <v>8</v>
      </c>
    </row>
    <row r="103" spans="1:11" x14ac:dyDescent="0.3">
      <c r="A103" t="s">
        <v>132</v>
      </c>
      <c r="B103" s="31">
        <v>45890</v>
      </c>
      <c r="C103" t="s">
        <v>19</v>
      </c>
      <c r="D103" t="s">
        <v>20</v>
      </c>
      <c r="E103" t="s">
        <v>28</v>
      </c>
      <c r="F103">
        <v>51</v>
      </c>
      <c r="G103">
        <v>13.62</v>
      </c>
      <c r="H103">
        <v>694.62</v>
      </c>
      <c r="I103" t="s">
        <v>17</v>
      </c>
      <c r="J103" t="s">
        <v>212</v>
      </c>
      <c r="K103">
        <v>8</v>
      </c>
    </row>
    <row r="104" spans="1:11" x14ac:dyDescent="0.3">
      <c r="A104" t="s">
        <v>133</v>
      </c>
      <c r="B104" s="31">
        <v>45893</v>
      </c>
      <c r="C104" t="s">
        <v>25</v>
      </c>
      <c r="D104" t="s">
        <v>26</v>
      </c>
      <c r="E104" t="s">
        <v>28</v>
      </c>
      <c r="F104">
        <v>111</v>
      </c>
      <c r="G104">
        <v>73.08</v>
      </c>
      <c r="H104">
        <v>8111.88</v>
      </c>
      <c r="I104" t="s">
        <v>13</v>
      </c>
      <c r="J104" t="s">
        <v>212</v>
      </c>
      <c r="K104">
        <v>8</v>
      </c>
    </row>
    <row r="105" spans="1:11" x14ac:dyDescent="0.3">
      <c r="A105" t="s">
        <v>134</v>
      </c>
      <c r="B105" s="31">
        <v>45895</v>
      </c>
      <c r="C105" t="s">
        <v>15</v>
      </c>
      <c r="D105" t="s">
        <v>16</v>
      </c>
      <c r="E105" t="s">
        <v>48</v>
      </c>
      <c r="F105">
        <v>81</v>
      </c>
      <c r="G105">
        <v>19.239999999999998</v>
      </c>
      <c r="H105">
        <v>1558.4399999999998</v>
      </c>
      <c r="I105" t="s">
        <v>42</v>
      </c>
      <c r="J105" t="s">
        <v>212</v>
      </c>
      <c r="K105">
        <v>8</v>
      </c>
    </row>
    <row r="106" spans="1:11" x14ac:dyDescent="0.3">
      <c r="A106" t="s">
        <v>135</v>
      </c>
      <c r="B106" s="31">
        <v>45900</v>
      </c>
      <c r="C106" t="s">
        <v>10</v>
      </c>
      <c r="D106" t="s">
        <v>11</v>
      </c>
      <c r="E106" t="s">
        <v>12</v>
      </c>
      <c r="F106">
        <v>113</v>
      </c>
      <c r="G106">
        <v>49.51</v>
      </c>
      <c r="H106">
        <v>5594.63</v>
      </c>
      <c r="I106" t="s">
        <v>13</v>
      </c>
      <c r="J106" t="s">
        <v>212</v>
      </c>
      <c r="K106">
        <v>8</v>
      </c>
    </row>
    <row r="107" spans="1:11" x14ac:dyDescent="0.3">
      <c r="A107" t="s">
        <v>136</v>
      </c>
      <c r="B107" s="31">
        <v>45900</v>
      </c>
      <c r="C107" t="s">
        <v>15</v>
      </c>
      <c r="D107" t="s">
        <v>16</v>
      </c>
      <c r="E107" t="s">
        <v>21</v>
      </c>
      <c r="F107">
        <v>37</v>
      </c>
      <c r="G107">
        <v>18.77</v>
      </c>
      <c r="H107">
        <v>694.49</v>
      </c>
      <c r="I107" t="s">
        <v>13</v>
      </c>
      <c r="J107" t="s">
        <v>212</v>
      </c>
      <c r="K107">
        <v>8</v>
      </c>
    </row>
    <row r="108" spans="1:11" x14ac:dyDescent="0.3">
      <c r="A108" t="s">
        <v>137</v>
      </c>
      <c r="B108" s="31">
        <v>45906</v>
      </c>
      <c r="C108" t="s">
        <v>10</v>
      </c>
      <c r="D108" t="s">
        <v>11</v>
      </c>
      <c r="E108" t="s">
        <v>48</v>
      </c>
      <c r="F108">
        <v>102</v>
      </c>
      <c r="G108">
        <v>54.58</v>
      </c>
      <c r="H108">
        <v>5567.16</v>
      </c>
      <c r="I108" t="s">
        <v>22</v>
      </c>
      <c r="J108" t="s">
        <v>213</v>
      </c>
      <c r="K108">
        <v>9</v>
      </c>
    </row>
    <row r="109" spans="1:11" x14ac:dyDescent="0.3">
      <c r="A109" t="s">
        <v>138</v>
      </c>
      <c r="B109" s="31">
        <v>45907</v>
      </c>
      <c r="C109" t="s">
        <v>10</v>
      </c>
      <c r="D109" t="s">
        <v>11</v>
      </c>
      <c r="E109" t="s">
        <v>21</v>
      </c>
      <c r="F109">
        <v>37</v>
      </c>
      <c r="G109">
        <v>54.9</v>
      </c>
      <c r="H109">
        <v>2031.3</v>
      </c>
      <c r="I109" t="s">
        <v>22</v>
      </c>
      <c r="J109" t="s">
        <v>213</v>
      </c>
      <c r="K109">
        <v>9</v>
      </c>
    </row>
    <row r="110" spans="1:11" x14ac:dyDescent="0.3">
      <c r="A110" t="s">
        <v>139</v>
      </c>
      <c r="B110" s="31">
        <v>45907</v>
      </c>
      <c r="C110" t="s">
        <v>10</v>
      </c>
      <c r="D110" t="s">
        <v>11</v>
      </c>
      <c r="E110" t="s">
        <v>21</v>
      </c>
      <c r="F110">
        <v>72</v>
      </c>
      <c r="G110">
        <v>45.88</v>
      </c>
      <c r="H110">
        <v>3303.36</v>
      </c>
      <c r="I110" t="s">
        <v>13</v>
      </c>
      <c r="J110" t="s">
        <v>213</v>
      </c>
      <c r="K110">
        <v>9</v>
      </c>
    </row>
    <row r="111" spans="1:11" x14ac:dyDescent="0.3">
      <c r="A111" t="s">
        <v>140</v>
      </c>
      <c r="B111" s="31">
        <v>45907</v>
      </c>
      <c r="C111" t="s">
        <v>10</v>
      </c>
      <c r="D111" t="s">
        <v>11</v>
      </c>
      <c r="E111" t="s">
        <v>28</v>
      </c>
      <c r="F111">
        <v>43</v>
      </c>
      <c r="G111">
        <v>48.87</v>
      </c>
      <c r="H111">
        <v>2101.41</v>
      </c>
      <c r="I111" t="s">
        <v>17</v>
      </c>
      <c r="J111" t="s">
        <v>213</v>
      </c>
      <c r="K111">
        <v>9</v>
      </c>
    </row>
    <row r="112" spans="1:11" x14ac:dyDescent="0.3">
      <c r="A112" t="s">
        <v>141</v>
      </c>
      <c r="B112" s="31">
        <v>45909</v>
      </c>
      <c r="C112" t="s">
        <v>40</v>
      </c>
      <c r="D112" t="s">
        <v>41</v>
      </c>
      <c r="E112" t="s">
        <v>45</v>
      </c>
      <c r="F112">
        <v>21</v>
      </c>
      <c r="G112">
        <v>32.28</v>
      </c>
      <c r="H112">
        <v>677.88</v>
      </c>
      <c r="I112" t="s">
        <v>13</v>
      </c>
      <c r="J112" t="s">
        <v>213</v>
      </c>
      <c r="K112">
        <v>9</v>
      </c>
    </row>
    <row r="113" spans="1:11" x14ac:dyDescent="0.3">
      <c r="A113" t="s">
        <v>142</v>
      </c>
      <c r="B113" s="31">
        <v>45909</v>
      </c>
      <c r="C113" t="s">
        <v>19</v>
      </c>
      <c r="D113" t="s">
        <v>20</v>
      </c>
      <c r="E113" t="s">
        <v>48</v>
      </c>
      <c r="F113">
        <v>97</v>
      </c>
      <c r="G113">
        <v>13.45</v>
      </c>
      <c r="H113">
        <v>1304.6499999999999</v>
      </c>
      <c r="I113" t="s">
        <v>13</v>
      </c>
      <c r="J113" t="s">
        <v>213</v>
      </c>
      <c r="K113">
        <v>9</v>
      </c>
    </row>
    <row r="114" spans="1:11" x14ac:dyDescent="0.3">
      <c r="A114" t="s">
        <v>143</v>
      </c>
      <c r="B114" s="31">
        <v>45917</v>
      </c>
      <c r="C114" t="s">
        <v>25</v>
      </c>
      <c r="D114" t="s">
        <v>26</v>
      </c>
      <c r="E114" t="s">
        <v>45</v>
      </c>
      <c r="F114">
        <v>46</v>
      </c>
      <c r="G114">
        <v>71.19</v>
      </c>
      <c r="H114">
        <v>3274.74</v>
      </c>
      <c r="I114" t="s">
        <v>17</v>
      </c>
      <c r="J114" t="s">
        <v>213</v>
      </c>
      <c r="K114">
        <v>9</v>
      </c>
    </row>
    <row r="115" spans="1:11" x14ac:dyDescent="0.3">
      <c r="A115" t="s">
        <v>144</v>
      </c>
      <c r="B115" s="31">
        <v>45921</v>
      </c>
      <c r="C115" t="s">
        <v>19</v>
      </c>
      <c r="D115" t="s">
        <v>20</v>
      </c>
      <c r="E115" t="s">
        <v>48</v>
      </c>
      <c r="F115">
        <v>79</v>
      </c>
      <c r="G115">
        <v>14.59</v>
      </c>
      <c r="H115">
        <v>1152.6099999999999</v>
      </c>
      <c r="I115" t="s">
        <v>13</v>
      </c>
      <c r="J115" t="s">
        <v>213</v>
      </c>
      <c r="K115">
        <v>9</v>
      </c>
    </row>
    <row r="116" spans="1:11" x14ac:dyDescent="0.3">
      <c r="A116" t="s">
        <v>145</v>
      </c>
      <c r="B116" s="31">
        <v>45923</v>
      </c>
      <c r="C116" t="s">
        <v>25</v>
      </c>
      <c r="D116" t="s">
        <v>26</v>
      </c>
      <c r="E116" t="s">
        <v>48</v>
      </c>
      <c r="F116">
        <v>73</v>
      </c>
      <c r="G116">
        <v>69.88</v>
      </c>
      <c r="H116">
        <v>5101.24</v>
      </c>
      <c r="I116" t="s">
        <v>17</v>
      </c>
      <c r="J116" t="s">
        <v>213</v>
      </c>
      <c r="K116">
        <v>9</v>
      </c>
    </row>
    <row r="117" spans="1:11" x14ac:dyDescent="0.3">
      <c r="A117" t="s">
        <v>146</v>
      </c>
      <c r="B117" s="31">
        <v>45926</v>
      </c>
      <c r="C117" t="s">
        <v>33</v>
      </c>
      <c r="D117" t="s">
        <v>34</v>
      </c>
      <c r="E117" t="s">
        <v>28</v>
      </c>
      <c r="F117">
        <v>22</v>
      </c>
      <c r="G117">
        <v>31.26</v>
      </c>
      <c r="H117">
        <v>687.72</v>
      </c>
      <c r="I117" t="s">
        <v>13</v>
      </c>
      <c r="J117" t="s">
        <v>213</v>
      </c>
      <c r="K117">
        <v>9</v>
      </c>
    </row>
    <row r="118" spans="1:11" x14ac:dyDescent="0.3">
      <c r="A118" t="s">
        <v>147</v>
      </c>
      <c r="B118" s="31">
        <v>45929</v>
      </c>
      <c r="C118" t="s">
        <v>10</v>
      </c>
      <c r="D118" t="s">
        <v>11</v>
      </c>
      <c r="E118" t="s">
        <v>21</v>
      </c>
      <c r="F118">
        <v>75</v>
      </c>
      <c r="G118">
        <v>46.37</v>
      </c>
      <c r="H118">
        <v>3477.75</v>
      </c>
      <c r="I118" t="s">
        <v>13</v>
      </c>
      <c r="J118" t="s">
        <v>213</v>
      </c>
      <c r="K118">
        <v>9</v>
      </c>
    </row>
    <row r="119" spans="1:11" x14ac:dyDescent="0.3">
      <c r="A119" t="s">
        <v>148</v>
      </c>
      <c r="B119" s="31">
        <v>45933</v>
      </c>
      <c r="C119" t="s">
        <v>40</v>
      </c>
      <c r="D119" t="s">
        <v>41</v>
      </c>
      <c r="E119" t="s">
        <v>28</v>
      </c>
      <c r="F119">
        <v>115</v>
      </c>
      <c r="G119">
        <v>35.08</v>
      </c>
      <c r="H119">
        <v>4034.2</v>
      </c>
      <c r="I119" t="s">
        <v>13</v>
      </c>
      <c r="J119" t="s">
        <v>214</v>
      </c>
      <c r="K119">
        <v>10</v>
      </c>
    </row>
    <row r="120" spans="1:11" x14ac:dyDescent="0.3">
      <c r="A120" t="s">
        <v>149</v>
      </c>
      <c r="B120" s="31">
        <v>45934</v>
      </c>
      <c r="C120" t="s">
        <v>33</v>
      </c>
      <c r="D120" t="s">
        <v>34</v>
      </c>
      <c r="E120" t="s">
        <v>30</v>
      </c>
      <c r="F120">
        <v>86</v>
      </c>
      <c r="G120">
        <v>28.42</v>
      </c>
      <c r="H120">
        <v>2444.1200000000003</v>
      </c>
      <c r="I120" t="s">
        <v>13</v>
      </c>
      <c r="J120" t="s">
        <v>214</v>
      </c>
      <c r="K120">
        <v>10</v>
      </c>
    </row>
    <row r="121" spans="1:11" x14ac:dyDescent="0.3">
      <c r="A121" t="s">
        <v>150</v>
      </c>
      <c r="B121" s="31">
        <v>45934</v>
      </c>
      <c r="C121" t="s">
        <v>19</v>
      </c>
      <c r="D121" t="s">
        <v>20</v>
      </c>
      <c r="E121" t="s">
        <v>21</v>
      </c>
      <c r="F121">
        <v>39</v>
      </c>
      <c r="G121">
        <v>14.37</v>
      </c>
      <c r="H121">
        <v>560.42999999999995</v>
      </c>
      <c r="I121" t="s">
        <v>13</v>
      </c>
      <c r="J121" t="s">
        <v>214</v>
      </c>
      <c r="K121">
        <v>10</v>
      </c>
    </row>
    <row r="122" spans="1:11" x14ac:dyDescent="0.3">
      <c r="A122" t="s">
        <v>151</v>
      </c>
      <c r="B122" s="31">
        <v>45934</v>
      </c>
      <c r="C122" t="s">
        <v>40</v>
      </c>
      <c r="D122" t="s">
        <v>41</v>
      </c>
      <c r="E122" t="s">
        <v>28</v>
      </c>
      <c r="F122">
        <v>86</v>
      </c>
      <c r="G122">
        <v>30.66</v>
      </c>
      <c r="H122">
        <v>2636.76</v>
      </c>
      <c r="I122" t="s">
        <v>13</v>
      </c>
      <c r="J122" t="s">
        <v>214</v>
      </c>
      <c r="K122">
        <v>10</v>
      </c>
    </row>
    <row r="123" spans="1:11" x14ac:dyDescent="0.3">
      <c r="A123" t="s">
        <v>152</v>
      </c>
      <c r="B123" s="31">
        <v>45935</v>
      </c>
      <c r="C123" t="s">
        <v>19</v>
      </c>
      <c r="D123" t="s">
        <v>20</v>
      </c>
      <c r="E123" t="s">
        <v>12</v>
      </c>
      <c r="F123">
        <v>17</v>
      </c>
      <c r="G123">
        <v>13.44</v>
      </c>
      <c r="H123">
        <v>228.48</v>
      </c>
      <c r="I123" t="s">
        <v>13</v>
      </c>
      <c r="J123" t="s">
        <v>214</v>
      </c>
      <c r="K123">
        <v>10</v>
      </c>
    </row>
    <row r="124" spans="1:11" x14ac:dyDescent="0.3">
      <c r="A124" t="s">
        <v>153</v>
      </c>
      <c r="B124" s="31">
        <v>45936</v>
      </c>
      <c r="C124" t="s">
        <v>10</v>
      </c>
      <c r="D124" t="s">
        <v>11</v>
      </c>
      <c r="E124" t="s">
        <v>48</v>
      </c>
      <c r="F124">
        <v>44</v>
      </c>
      <c r="G124">
        <v>53.54</v>
      </c>
      <c r="H124">
        <v>2355.7599999999998</v>
      </c>
      <c r="I124" t="s">
        <v>13</v>
      </c>
      <c r="J124" t="s">
        <v>214</v>
      </c>
      <c r="K124">
        <v>10</v>
      </c>
    </row>
    <row r="125" spans="1:11" x14ac:dyDescent="0.3">
      <c r="A125" t="s">
        <v>154</v>
      </c>
      <c r="B125" s="31">
        <v>45939</v>
      </c>
      <c r="C125" t="s">
        <v>19</v>
      </c>
      <c r="D125" t="s">
        <v>20</v>
      </c>
      <c r="E125" t="s">
        <v>21</v>
      </c>
      <c r="F125">
        <v>79</v>
      </c>
      <c r="G125">
        <v>15.64</v>
      </c>
      <c r="H125">
        <v>1235.56</v>
      </c>
      <c r="I125" t="s">
        <v>42</v>
      </c>
      <c r="J125" t="s">
        <v>214</v>
      </c>
      <c r="K125">
        <v>10</v>
      </c>
    </row>
    <row r="126" spans="1:11" x14ac:dyDescent="0.3">
      <c r="A126" t="s">
        <v>155</v>
      </c>
      <c r="B126" s="31">
        <v>45940</v>
      </c>
      <c r="C126" t="s">
        <v>10</v>
      </c>
      <c r="D126" t="s">
        <v>11</v>
      </c>
      <c r="E126" t="s">
        <v>28</v>
      </c>
      <c r="F126">
        <v>15</v>
      </c>
      <c r="G126">
        <v>48.56</v>
      </c>
      <c r="H126">
        <v>728.40000000000009</v>
      </c>
      <c r="I126" t="s">
        <v>17</v>
      </c>
      <c r="J126" t="s">
        <v>214</v>
      </c>
      <c r="K126">
        <v>10</v>
      </c>
    </row>
    <row r="127" spans="1:11" x14ac:dyDescent="0.3">
      <c r="A127" t="s">
        <v>156</v>
      </c>
      <c r="B127" s="31">
        <v>45941</v>
      </c>
      <c r="C127" t="s">
        <v>10</v>
      </c>
      <c r="D127" t="s">
        <v>11</v>
      </c>
      <c r="E127" t="s">
        <v>21</v>
      </c>
      <c r="F127">
        <v>95</v>
      </c>
      <c r="G127">
        <v>54.63</v>
      </c>
      <c r="H127">
        <v>5189.8500000000004</v>
      </c>
      <c r="I127" t="s">
        <v>22</v>
      </c>
      <c r="J127" t="s">
        <v>214</v>
      </c>
      <c r="K127">
        <v>10</v>
      </c>
    </row>
    <row r="128" spans="1:11" x14ac:dyDescent="0.3">
      <c r="A128" t="s">
        <v>157</v>
      </c>
      <c r="B128" s="31">
        <v>45944</v>
      </c>
      <c r="C128" t="s">
        <v>40</v>
      </c>
      <c r="D128" t="s">
        <v>41</v>
      </c>
      <c r="E128" t="s">
        <v>30</v>
      </c>
      <c r="F128">
        <v>105</v>
      </c>
      <c r="G128">
        <v>31.39</v>
      </c>
      <c r="H128">
        <v>3295.9500000000003</v>
      </c>
      <c r="I128" t="s">
        <v>42</v>
      </c>
      <c r="J128" t="s">
        <v>214</v>
      </c>
      <c r="K128">
        <v>10</v>
      </c>
    </row>
    <row r="129" spans="1:11" x14ac:dyDescent="0.3">
      <c r="A129" t="s">
        <v>158</v>
      </c>
      <c r="B129" s="31">
        <v>45946</v>
      </c>
      <c r="C129" t="s">
        <v>25</v>
      </c>
      <c r="D129" t="s">
        <v>26</v>
      </c>
      <c r="E129" t="s">
        <v>21</v>
      </c>
      <c r="F129">
        <v>41</v>
      </c>
      <c r="G129">
        <v>63.29</v>
      </c>
      <c r="H129">
        <v>2594.89</v>
      </c>
      <c r="I129" t="s">
        <v>17</v>
      </c>
      <c r="J129" t="s">
        <v>214</v>
      </c>
      <c r="K129">
        <v>10</v>
      </c>
    </row>
    <row r="130" spans="1:11" x14ac:dyDescent="0.3">
      <c r="A130" t="s">
        <v>159</v>
      </c>
      <c r="B130" s="31">
        <v>45949</v>
      </c>
      <c r="C130" t="s">
        <v>10</v>
      </c>
      <c r="D130" t="s">
        <v>11</v>
      </c>
      <c r="E130" t="s">
        <v>48</v>
      </c>
      <c r="F130">
        <v>15</v>
      </c>
      <c r="G130">
        <v>51.55</v>
      </c>
      <c r="H130">
        <v>773.25</v>
      </c>
      <c r="I130" t="s">
        <v>13</v>
      </c>
      <c r="J130" t="s">
        <v>214</v>
      </c>
      <c r="K130">
        <v>10</v>
      </c>
    </row>
    <row r="131" spans="1:11" x14ac:dyDescent="0.3">
      <c r="A131" t="s">
        <v>160</v>
      </c>
      <c r="B131" s="31">
        <v>45952</v>
      </c>
      <c r="C131" t="s">
        <v>40</v>
      </c>
      <c r="D131" t="s">
        <v>41</v>
      </c>
      <c r="E131" t="s">
        <v>28</v>
      </c>
      <c r="F131">
        <v>55</v>
      </c>
      <c r="G131">
        <v>32.31</v>
      </c>
      <c r="H131">
        <v>1777.0500000000002</v>
      </c>
      <c r="I131" t="s">
        <v>13</v>
      </c>
      <c r="J131" t="s">
        <v>214</v>
      </c>
      <c r="K131">
        <v>10</v>
      </c>
    </row>
    <row r="132" spans="1:11" x14ac:dyDescent="0.3">
      <c r="A132" t="s">
        <v>161</v>
      </c>
      <c r="B132" s="31">
        <v>45952</v>
      </c>
      <c r="C132" t="s">
        <v>33</v>
      </c>
      <c r="D132" t="s">
        <v>34</v>
      </c>
      <c r="E132" t="s">
        <v>30</v>
      </c>
      <c r="F132">
        <v>107</v>
      </c>
      <c r="G132">
        <v>30.36</v>
      </c>
      <c r="H132">
        <v>3248.52</v>
      </c>
      <c r="I132" t="s">
        <v>13</v>
      </c>
      <c r="J132" t="s">
        <v>214</v>
      </c>
      <c r="K132">
        <v>10</v>
      </c>
    </row>
    <row r="133" spans="1:11" x14ac:dyDescent="0.3">
      <c r="A133" t="s">
        <v>162</v>
      </c>
      <c r="B133" s="31">
        <v>45953</v>
      </c>
      <c r="C133" t="s">
        <v>10</v>
      </c>
      <c r="D133" t="s">
        <v>11</v>
      </c>
      <c r="E133" t="s">
        <v>12</v>
      </c>
      <c r="F133">
        <v>15</v>
      </c>
      <c r="G133">
        <v>51.95</v>
      </c>
      <c r="H133">
        <v>779.25</v>
      </c>
      <c r="I133" t="s">
        <v>17</v>
      </c>
      <c r="J133" t="s">
        <v>214</v>
      </c>
      <c r="K133">
        <v>10</v>
      </c>
    </row>
    <row r="134" spans="1:11" x14ac:dyDescent="0.3">
      <c r="A134" t="s">
        <v>163</v>
      </c>
      <c r="B134" s="31">
        <v>45956</v>
      </c>
      <c r="C134" t="s">
        <v>40</v>
      </c>
      <c r="D134" t="s">
        <v>41</v>
      </c>
      <c r="E134" t="s">
        <v>28</v>
      </c>
      <c r="F134">
        <v>27</v>
      </c>
      <c r="G134">
        <v>33.659999999999997</v>
      </c>
      <c r="H134">
        <v>908.81999999999994</v>
      </c>
      <c r="I134" t="s">
        <v>13</v>
      </c>
      <c r="J134" t="s">
        <v>214</v>
      </c>
      <c r="K134">
        <v>10</v>
      </c>
    </row>
    <row r="135" spans="1:11" x14ac:dyDescent="0.3">
      <c r="A135" t="s">
        <v>164</v>
      </c>
      <c r="B135" s="31">
        <v>45956</v>
      </c>
      <c r="C135" t="s">
        <v>33</v>
      </c>
      <c r="D135" t="s">
        <v>34</v>
      </c>
      <c r="E135" t="s">
        <v>48</v>
      </c>
      <c r="F135">
        <v>43</v>
      </c>
      <c r="G135">
        <v>27.74</v>
      </c>
      <c r="H135">
        <v>1192.82</v>
      </c>
      <c r="I135" t="s">
        <v>22</v>
      </c>
      <c r="J135" t="s">
        <v>214</v>
      </c>
      <c r="K135">
        <v>10</v>
      </c>
    </row>
    <row r="136" spans="1:11" x14ac:dyDescent="0.3">
      <c r="A136" t="s">
        <v>165</v>
      </c>
      <c r="B136" s="31">
        <v>45957</v>
      </c>
      <c r="C136" t="s">
        <v>40</v>
      </c>
      <c r="D136" t="s">
        <v>41</v>
      </c>
      <c r="E136" t="s">
        <v>48</v>
      </c>
      <c r="F136">
        <v>72</v>
      </c>
      <c r="G136">
        <v>36.6</v>
      </c>
      <c r="H136">
        <v>2635.2000000000003</v>
      </c>
      <c r="I136" t="s">
        <v>13</v>
      </c>
      <c r="J136" t="s">
        <v>214</v>
      </c>
      <c r="K136">
        <v>10</v>
      </c>
    </row>
    <row r="137" spans="1:11" x14ac:dyDescent="0.3">
      <c r="A137" t="s">
        <v>166</v>
      </c>
      <c r="B137" s="31">
        <v>45962</v>
      </c>
      <c r="C137" t="s">
        <v>19</v>
      </c>
      <c r="D137" t="s">
        <v>20</v>
      </c>
      <c r="E137" t="s">
        <v>12</v>
      </c>
      <c r="F137">
        <v>40</v>
      </c>
      <c r="G137">
        <v>14.43</v>
      </c>
      <c r="H137">
        <v>577.20000000000005</v>
      </c>
      <c r="I137" t="s">
        <v>42</v>
      </c>
      <c r="J137" t="s">
        <v>215</v>
      </c>
      <c r="K137">
        <v>11</v>
      </c>
    </row>
    <row r="138" spans="1:11" x14ac:dyDescent="0.3">
      <c r="A138" t="s">
        <v>167</v>
      </c>
      <c r="B138" s="31">
        <v>45968</v>
      </c>
      <c r="C138" t="s">
        <v>40</v>
      </c>
      <c r="D138" t="s">
        <v>41</v>
      </c>
      <c r="E138" t="s">
        <v>30</v>
      </c>
      <c r="F138">
        <v>79</v>
      </c>
      <c r="G138">
        <v>35.229999999999997</v>
      </c>
      <c r="H138">
        <v>2783.1699999999996</v>
      </c>
      <c r="I138" t="s">
        <v>22</v>
      </c>
      <c r="J138" t="s">
        <v>215</v>
      </c>
      <c r="K138">
        <v>11</v>
      </c>
    </row>
    <row r="139" spans="1:11" x14ac:dyDescent="0.3">
      <c r="A139" t="s">
        <v>168</v>
      </c>
      <c r="B139" s="31">
        <v>45968</v>
      </c>
      <c r="C139" t="s">
        <v>33</v>
      </c>
      <c r="D139" t="s">
        <v>34</v>
      </c>
      <c r="E139" t="s">
        <v>45</v>
      </c>
      <c r="F139">
        <v>38</v>
      </c>
      <c r="G139">
        <v>30.94</v>
      </c>
      <c r="H139">
        <v>1175.72</v>
      </c>
      <c r="I139" t="s">
        <v>13</v>
      </c>
      <c r="J139" t="s">
        <v>215</v>
      </c>
      <c r="K139">
        <v>11</v>
      </c>
    </row>
    <row r="140" spans="1:11" x14ac:dyDescent="0.3">
      <c r="A140" t="s">
        <v>169</v>
      </c>
      <c r="B140" s="31">
        <v>45970</v>
      </c>
      <c r="C140" t="s">
        <v>15</v>
      </c>
      <c r="D140" t="s">
        <v>16</v>
      </c>
      <c r="E140" t="s">
        <v>28</v>
      </c>
      <c r="F140">
        <v>13</v>
      </c>
      <c r="G140">
        <v>18.88</v>
      </c>
      <c r="H140">
        <v>245.44</v>
      </c>
      <c r="I140" t="s">
        <v>13</v>
      </c>
      <c r="J140" t="s">
        <v>215</v>
      </c>
      <c r="K140">
        <v>11</v>
      </c>
    </row>
    <row r="141" spans="1:11" x14ac:dyDescent="0.3">
      <c r="A141" t="s">
        <v>170</v>
      </c>
      <c r="B141" s="31">
        <v>45970</v>
      </c>
      <c r="C141" t="s">
        <v>15</v>
      </c>
      <c r="D141" t="s">
        <v>16</v>
      </c>
      <c r="E141" t="s">
        <v>21</v>
      </c>
      <c r="F141">
        <v>107</v>
      </c>
      <c r="G141">
        <v>17.850000000000001</v>
      </c>
      <c r="H141">
        <v>1909.95</v>
      </c>
      <c r="I141" t="s">
        <v>13</v>
      </c>
      <c r="J141" t="s">
        <v>215</v>
      </c>
      <c r="K141">
        <v>11</v>
      </c>
    </row>
    <row r="142" spans="1:11" x14ac:dyDescent="0.3">
      <c r="A142" t="s">
        <v>171</v>
      </c>
      <c r="B142" s="31">
        <v>45976</v>
      </c>
      <c r="C142" t="s">
        <v>33</v>
      </c>
      <c r="D142" t="s">
        <v>34</v>
      </c>
      <c r="E142" t="s">
        <v>21</v>
      </c>
      <c r="F142">
        <v>60</v>
      </c>
      <c r="G142">
        <v>29.91</v>
      </c>
      <c r="H142">
        <v>1794.6</v>
      </c>
      <c r="I142" t="s">
        <v>22</v>
      </c>
      <c r="J142" t="s">
        <v>215</v>
      </c>
      <c r="K142">
        <v>11</v>
      </c>
    </row>
    <row r="143" spans="1:11" x14ac:dyDescent="0.3">
      <c r="A143" t="s">
        <v>172</v>
      </c>
      <c r="B143" s="31">
        <v>45979</v>
      </c>
      <c r="C143" t="s">
        <v>10</v>
      </c>
      <c r="D143" t="s">
        <v>11</v>
      </c>
      <c r="E143" t="s">
        <v>21</v>
      </c>
      <c r="F143">
        <v>108</v>
      </c>
      <c r="G143">
        <v>48.5</v>
      </c>
      <c r="H143">
        <v>5238</v>
      </c>
      <c r="I143" t="s">
        <v>22</v>
      </c>
      <c r="J143" t="s">
        <v>215</v>
      </c>
      <c r="K143">
        <v>11</v>
      </c>
    </row>
    <row r="144" spans="1:11" x14ac:dyDescent="0.3">
      <c r="A144" t="s">
        <v>173</v>
      </c>
      <c r="B144" s="31">
        <v>45984</v>
      </c>
      <c r="C144" t="s">
        <v>25</v>
      </c>
      <c r="D144" t="s">
        <v>26</v>
      </c>
      <c r="E144" t="s">
        <v>12</v>
      </c>
      <c r="F144">
        <v>76</v>
      </c>
      <c r="G144">
        <v>68.05</v>
      </c>
      <c r="H144">
        <v>5171.8</v>
      </c>
      <c r="I144" t="s">
        <v>13</v>
      </c>
      <c r="J144" t="s">
        <v>215</v>
      </c>
      <c r="K144">
        <v>11</v>
      </c>
    </row>
    <row r="145" spans="1:11" x14ac:dyDescent="0.3">
      <c r="A145" t="s">
        <v>174</v>
      </c>
      <c r="B145" s="31">
        <v>45985</v>
      </c>
      <c r="C145" t="s">
        <v>19</v>
      </c>
      <c r="D145" t="s">
        <v>20</v>
      </c>
      <c r="E145" t="s">
        <v>21</v>
      </c>
      <c r="F145">
        <v>45</v>
      </c>
      <c r="G145">
        <v>13.99</v>
      </c>
      <c r="H145">
        <v>629.54999999999995</v>
      </c>
      <c r="I145" t="s">
        <v>13</v>
      </c>
      <c r="J145" t="s">
        <v>215</v>
      </c>
      <c r="K145">
        <v>11</v>
      </c>
    </row>
    <row r="146" spans="1:11" x14ac:dyDescent="0.3">
      <c r="A146" t="s">
        <v>175</v>
      </c>
      <c r="B146" s="31">
        <v>45986</v>
      </c>
      <c r="C146" t="s">
        <v>25</v>
      </c>
      <c r="D146" t="s">
        <v>26</v>
      </c>
      <c r="E146" t="s">
        <v>21</v>
      </c>
      <c r="F146">
        <v>65</v>
      </c>
      <c r="G146">
        <v>63.81</v>
      </c>
      <c r="H146">
        <v>4147.6500000000005</v>
      </c>
      <c r="I146" t="s">
        <v>13</v>
      </c>
      <c r="J146" t="s">
        <v>215</v>
      </c>
      <c r="K146">
        <v>11</v>
      </c>
    </row>
    <row r="147" spans="1:11" x14ac:dyDescent="0.3">
      <c r="A147" t="s">
        <v>176</v>
      </c>
      <c r="B147" s="31">
        <v>45990</v>
      </c>
      <c r="C147" t="s">
        <v>15</v>
      </c>
      <c r="D147" t="s">
        <v>16</v>
      </c>
      <c r="E147" t="s">
        <v>48</v>
      </c>
      <c r="F147">
        <v>38</v>
      </c>
      <c r="G147">
        <v>18.72</v>
      </c>
      <c r="H147">
        <v>711.3599999999999</v>
      </c>
      <c r="I147" t="s">
        <v>13</v>
      </c>
      <c r="J147" t="s">
        <v>215</v>
      </c>
      <c r="K147">
        <v>11</v>
      </c>
    </row>
    <row r="148" spans="1:11" x14ac:dyDescent="0.3">
      <c r="A148" t="s">
        <v>177</v>
      </c>
      <c r="B148" s="31">
        <v>45992</v>
      </c>
      <c r="C148" t="s">
        <v>33</v>
      </c>
      <c r="D148" t="s">
        <v>34</v>
      </c>
      <c r="E148" t="s">
        <v>21</v>
      </c>
      <c r="F148">
        <v>114</v>
      </c>
      <c r="G148">
        <v>29.71</v>
      </c>
      <c r="H148">
        <v>3386.94</v>
      </c>
      <c r="I148" t="s">
        <v>42</v>
      </c>
      <c r="J148" t="s">
        <v>216</v>
      </c>
      <c r="K148">
        <v>12</v>
      </c>
    </row>
    <row r="149" spans="1:11" x14ac:dyDescent="0.3">
      <c r="A149" t="s">
        <v>178</v>
      </c>
      <c r="B149" s="31">
        <v>45993</v>
      </c>
      <c r="C149" t="s">
        <v>40</v>
      </c>
      <c r="D149" t="s">
        <v>41</v>
      </c>
      <c r="E149" t="s">
        <v>28</v>
      </c>
      <c r="F149">
        <v>92</v>
      </c>
      <c r="G149">
        <v>33.340000000000003</v>
      </c>
      <c r="H149">
        <v>3067.28</v>
      </c>
      <c r="I149" t="s">
        <v>13</v>
      </c>
      <c r="J149" t="s">
        <v>216</v>
      </c>
      <c r="K149">
        <v>12</v>
      </c>
    </row>
    <row r="150" spans="1:11" x14ac:dyDescent="0.3">
      <c r="A150" t="s">
        <v>179</v>
      </c>
      <c r="B150" s="31">
        <v>45995</v>
      </c>
      <c r="C150" t="s">
        <v>40</v>
      </c>
      <c r="D150" t="s">
        <v>41</v>
      </c>
      <c r="E150" t="s">
        <v>28</v>
      </c>
      <c r="F150">
        <v>62</v>
      </c>
      <c r="G150">
        <v>33.39</v>
      </c>
      <c r="H150">
        <v>2070.1799999999998</v>
      </c>
      <c r="I150" t="s">
        <v>22</v>
      </c>
      <c r="J150" t="s">
        <v>216</v>
      </c>
      <c r="K150">
        <v>12</v>
      </c>
    </row>
    <row r="151" spans="1:11" x14ac:dyDescent="0.3">
      <c r="A151" t="s">
        <v>180</v>
      </c>
      <c r="B151" s="31">
        <v>45995</v>
      </c>
      <c r="C151" t="s">
        <v>10</v>
      </c>
      <c r="D151" t="s">
        <v>11</v>
      </c>
      <c r="E151" t="s">
        <v>28</v>
      </c>
      <c r="F151">
        <v>45</v>
      </c>
      <c r="G151">
        <v>53.9</v>
      </c>
      <c r="H151">
        <v>2425.5</v>
      </c>
      <c r="I151" t="s">
        <v>42</v>
      </c>
      <c r="J151" t="s">
        <v>216</v>
      </c>
      <c r="K151">
        <v>12</v>
      </c>
    </row>
    <row r="152" spans="1:11" x14ac:dyDescent="0.3">
      <c r="A152" t="s">
        <v>181</v>
      </c>
      <c r="B152" s="31">
        <v>45996</v>
      </c>
      <c r="C152" t="s">
        <v>19</v>
      </c>
      <c r="D152" t="s">
        <v>20</v>
      </c>
      <c r="E152" t="s">
        <v>21</v>
      </c>
      <c r="F152">
        <v>32</v>
      </c>
      <c r="G152">
        <v>14.85</v>
      </c>
      <c r="H152">
        <v>475.2</v>
      </c>
      <c r="I152" t="s">
        <v>13</v>
      </c>
      <c r="J152" t="s">
        <v>216</v>
      </c>
      <c r="K152">
        <v>12</v>
      </c>
    </row>
    <row r="153" spans="1:11" x14ac:dyDescent="0.3">
      <c r="A153" t="s">
        <v>182</v>
      </c>
      <c r="B153" s="31">
        <v>46002</v>
      </c>
      <c r="C153" t="s">
        <v>15</v>
      </c>
      <c r="D153" t="s">
        <v>16</v>
      </c>
      <c r="E153" t="s">
        <v>30</v>
      </c>
      <c r="F153">
        <v>22</v>
      </c>
      <c r="G153">
        <v>17.32</v>
      </c>
      <c r="H153">
        <v>381.04</v>
      </c>
      <c r="I153" t="s">
        <v>22</v>
      </c>
      <c r="J153" t="s">
        <v>216</v>
      </c>
      <c r="K153">
        <v>12</v>
      </c>
    </row>
    <row r="154" spans="1:11" x14ac:dyDescent="0.3">
      <c r="A154" t="s">
        <v>183</v>
      </c>
      <c r="B154" s="31">
        <v>46005</v>
      </c>
      <c r="C154" t="s">
        <v>40</v>
      </c>
      <c r="D154" t="s">
        <v>41</v>
      </c>
      <c r="E154" t="s">
        <v>12</v>
      </c>
      <c r="F154">
        <v>117</v>
      </c>
      <c r="G154">
        <v>33.39</v>
      </c>
      <c r="H154">
        <v>3906.63</v>
      </c>
      <c r="I154" t="s">
        <v>13</v>
      </c>
      <c r="J154" t="s">
        <v>216</v>
      </c>
      <c r="K154">
        <v>12</v>
      </c>
    </row>
    <row r="155" spans="1:11" x14ac:dyDescent="0.3">
      <c r="A155" t="s">
        <v>184</v>
      </c>
      <c r="B155" s="31">
        <v>46007</v>
      </c>
      <c r="C155" t="s">
        <v>15</v>
      </c>
      <c r="D155" t="s">
        <v>16</v>
      </c>
      <c r="E155" t="s">
        <v>21</v>
      </c>
      <c r="F155">
        <v>91</v>
      </c>
      <c r="G155">
        <v>17.72</v>
      </c>
      <c r="H155">
        <v>1612.52</v>
      </c>
      <c r="I155" t="s">
        <v>22</v>
      </c>
      <c r="J155" t="s">
        <v>216</v>
      </c>
      <c r="K155">
        <v>12</v>
      </c>
    </row>
    <row r="156" spans="1:11" x14ac:dyDescent="0.3">
      <c r="A156" t="s">
        <v>185</v>
      </c>
      <c r="B156" s="31">
        <v>46009</v>
      </c>
      <c r="C156" t="s">
        <v>15</v>
      </c>
      <c r="D156" t="s">
        <v>16</v>
      </c>
      <c r="E156" t="s">
        <v>30</v>
      </c>
      <c r="F156">
        <v>104</v>
      </c>
      <c r="G156">
        <v>19.510000000000002</v>
      </c>
      <c r="H156">
        <v>2029.0400000000002</v>
      </c>
      <c r="I156" t="s">
        <v>13</v>
      </c>
      <c r="J156" t="s">
        <v>216</v>
      </c>
      <c r="K156">
        <v>12</v>
      </c>
    </row>
    <row r="157" spans="1:11" x14ac:dyDescent="0.3">
      <c r="A157" t="s">
        <v>186</v>
      </c>
      <c r="B157" s="31">
        <v>46011</v>
      </c>
      <c r="C157" t="s">
        <v>10</v>
      </c>
      <c r="D157" t="s">
        <v>11</v>
      </c>
      <c r="E157" t="s">
        <v>21</v>
      </c>
      <c r="F157">
        <v>104</v>
      </c>
      <c r="G157">
        <v>50.25</v>
      </c>
      <c r="H157">
        <v>5226</v>
      </c>
      <c r="I157" t="s">
        <v>22</v>
      </c>
      <c r="J157" t="s">
        <v>216</v>
      </c>
      <c r="K157">
        <v>12</v>
      </c>
    </row>
    <row r="158" spans="1:11" x14ac:dyDescent="0.3">
      <c r="A158" t="s">
        <v>187</v>
      </c>
      <c r="B158" s="31">
        <v>46013</v>
      </c>
      <c r="C158" t="s">
        <v>40</v>
      </c>
      <c r="D158" t="s">
        <v>41</v>
      </c>
      <c r="E158" t="s">
        <v>28</v>
      </c>
      <c r="F158">
        <v>61</v>
      </c>
      <c r="G158">
        <v>35.61</v>
      </c>
      <c r="H158">
        <v>2172.21</v>
      </c>
      <c r="I158" t="s">
        <v>22</v>
      </c>
      <c r="J158" t="s">
        <v>216</v>
      </c>
      <c r="K158">
        <v>12</v>
      </c>
    </row>
    <row r="159" spans="1:11" x14ac:dyDescent="0.3">
      <c r="A159" t="s">
        <v>188</v>
      </c>
      <c r="B159" s="31">
        <v>46017</v>
      </c>
      <c r="C159" t="s">
        <v>19</v>
      </c>
      <c r="D159" t="s">
        <v>20</v>
      </c>
      <c r="E159" t="s">
        <v>28</v>
      </c>
      <c r="F159">
        <v>14</v>
      </c>
      <c r="G159">
        <v>15.7</v>
      </c>
      <c r="H159">
        <v>219.79999999999998</v>
      </c>
      <c r="I159" t="s">
        <v>13</v>
      </c>
      <c r="J159" t="s">
        <v>216</v>
      </c>
      <c r="K159">
        <v>12</v>
      </c>
    </row>
    <row r="160" spans="1:11" x14ac:dyDescent="0.3">
      <c r="A160" t="s">
        <v>189</v>
      </c>
      <c r="B160" s="31">
        <v>46017</v>
      </c>
      <c r="C160" t="s">
        <v>25</v>
      </c>
      <c r="D160" t="s">
        <v>26</v>
      </c>
      <c r="E160" t="s">
        <v>48</v>
      </c>
      <c r="F160">
        <v>76</v>
      </c>
      <c r="G160">
        <v>74.069999999999993</v>
      </c>
      <c r="H160">
        <v>5629.32</v>
      </c>
      <c r="I160" t="s">
        <v>13</v>
      </c>
      <c r="J160" t="s">
        <v>216</v>
      </c>
      <c r="K160">
        <v>12</v>
      </c>
    </row>
    <row r="161" spans="1:11" x14ac:dyDescent="0.3">
      <c r="A161" t="s">
        <v>190</v>
      </c>
      <c r="B161" s="31">
        <v>46019</v>
      </c>
      <c r="C161" t="s">
        <v>25</v>
      </c>
      <c r="D161" t="s">
        <v>26</v>
      </c>
      <c r="E161" t="s">
        <v>12</v>
      </c>
      <c r="F161">
        <v>68</v>
      </c>
      <c r="G161">
        <v>62.68</v>
      </c>
      <c r="H161">
        <v>4262.24</v>
      </c>
      <c r="I161" t="s">
        <v>13</v>
      </c>
      <c r="J161" t="s">
        <v>216</v>
      </c>
      <c r="K161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97E81-2DC8-4722-ABD0-FF3361A16D70}">
  <dimension ref="A1:K14"/>
  <sheetViews>
    <sheetView workbookViewId="0">
      <selection activeCell="E17" sqref="E17"/>
    </sheetView>
  </sheetViews>
  <sheetFormatPr defaultRowHeight="14.4" x14ac:dyDescent="0.3"/>
  <cols>
    <col min="1" max="1" width="9.88671875" customWidth="1"/>
    <col min="3" max="3" width="9.5546875" customWidth="1"/>
    <col min="4" max="4" width="10.44140625" customWidth="1"/>
    <col min="5" max="5" width="15.5546875" customWidth="1"/>
    <col min="6" max="6" width="10.21875" customWidth="1"/>
    <col min="7" max="7" width="16.33203125" customWidth="1"/>
    <col min="8" max="8" width="15.5546875" customWidth="1"/>
    <col min="9" max="9" width="13.33203125" customWidth="1"/>
    <col min="11" max="11" width="16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200</v>
      </c>
      <c r="K1" t="s">
        <v>219</v>
      </c>
    </row>
    <row r="2" spans="1:11" x14ac:dyDescent="0.3">
      <c r="A2" t="s">
        <v>9</v>
      </c>
      <c r="B2" s="31">
        <v>45661</v>
      </c>
      <c r="C2" t="s">
        <v>10</v>
      </c>
      <c r="D2" t="s">
        <v>11</v>
      </c>
      <c r="E2" t="s">
        <v>12</v>
      </c>
      <c r="F2">
        <v>53</v>
      </c>
      <c r="G2">
        <v>48.27</v>
      </c>
      <c r="H2">
        <v>2558.31</v>
      </c>
      <c r="I2" t="s">
        <v>13</v>
      </c>
      <c r="J2" t="s">
        <v>205</v>
      </c>
      <c r="K2">
        <v>1</v>
      </c>
    </row>
    <row r="3" spans="1:11" x14ac:dyDescent="0.3">
      <c r="A3" t="s">
        <v>14</v>
      </c>
      <c r="B3" s="31">
        <v>45663</v>
      </c>
      <c r="C3" t="s">
        <v>15</v>
      </c>
      <c r="D3" t="s">
        <v>16</v>
      </c>
      <c r="E3" t="s">
        <v>12</v>
      </c>
      <c r="F3">
        <v>97</v>
      </c>
      <c r="G3">
        <v>20.29</v>
      </c>
      <c r="H3">
        <v>1968.1299999999999</v>
      </c>
      <c r="I3" t="s">
        <v>17</v>
      </c>
      <c r="J3" t="s">
        <v>205</v>
      </c>
      <c r="K3">
        <v>1</v>
      </c>
    </row>
    <row r="4" spans="1:11" x14ac:dyDescent="0.3">
      <c r="A4" t="s">
        <v>18</v>
      </c>
      <c r="B4" s="31">
        <v>45673</v>
      </c>
      <c r="C4" t="s">
        <v>19</v>
      </c>
      <c r="D4" t="s">
        <v>20</v>
      </c>
      <c r="E4" t="s">
        <v>21</v>
      </c>
      <c r="F4">
        <v>74</v>
      </c>
      <c r="G4">
        <v>14.99</v>
      </c>
      <c r="H4">
        <v>1109.26</v>
      </c>
      <c r="I4" t="s">
        <v>22</v>
      </c>
      <c r="J4" t="s">
        <v>205</v>
      </c>
      <c r="K4">
        <v>1</v>
      </c>
    </row>
    <row r="5" spans="1:11" x14ac:dyDescent="0.3">
      <c r="A5" t="s">
        <v>23</v>
      </c>
      <c r="B5" s="31">
        <v>45673</v>
      </c>
      <c r="C5" t="s">
        <v>10</v>
      </c>
      <c r="D5" t="s">
        <v>11</v>
      </c>
      <c r="E5" t="s">
        <v>21</v>
      </c>
      <c r="F5">
        <v>12</v>
      </c>
      <c r="G5">
        <v>51.56</v>
      </c>
      <c r="H5">
        <v>618.72</v>
      </c>
      <c r="I5" t="s">
        <v>13</v>
      </c>
      <c r="J5" t="s">
        <v>205</v>
      </c>
      <c r="K5">
        <v>1</v>
      </c>
    </row>
    <row r="6" spans="1:11" x14ac:dyDescent="0.3">
      <c r="A6" t="s">
        <v>24</v>
      </c>
      <c r="B6" s="31">
        <v>45678</v>
      </c>
      <c r="C6" t="s">
        <v>25</v>
      </c>
      <c r="D6" t="s">
        <v>26</v>
      </c>
      <c r="E6" t="s">
        <v>21</v>
      </c>
      <c r="F6">
        <v>41</v>
      </c>
      <c r="G6">
        <v>70.42</v>
      </c>
      <c r="H6">
        <v>2887.2200000000003</v>
      </c>
      <c r="I6" t="s">
        <v>13</v>
      </c>
      <c r="J6" t="s">
        <v>205</v>
      </c>
      <c r="K6">
        <v>1</v>
      </c>
    </row>
    <row r="7" spans="1:11" x14ac:dyDescent="0.3">
      <c r="A7" t="s">
        <v>27</v>
      </c>
      <c r="B7" s="31">
        <v>45678</v>
      </c>
      <c r="C7" t="s">
        <v>10</v>
      </c>
      <c r="D7" t="s">
        <v>11</v>
      </c>
      <c r="E7" t="s">
        <v>28</v>
      </c>
      <c r="F7">
        <v>93</v>
      </c>
      <c r="G7">
        <v>49.85</v>
      </c>
      <c r="H7">
        <v>4636.05</v>
      </c>
      <c r="I7" t="s">
        <v>13</v>
      </c>
      <c r="J7" t="s">
        <v>205</v>
      </c>
      <c r="K7">
        <v>1</v>
      </c>
    </row>
    <row r="8" spans="1:11" x14ac:dyDescent="0.3">
      <c r="A8" t="s">
        <v>29</v>
      </c>
      <c r="B8" s="31">
        <v>45681</v>
      </c>
      <c r="C8" t="s">
        <v>10</v>
      </c>
      <c r="D8" t="s">
        <v>11</v>
      </c>
      <c r="E8" t="s">
        <v>30</v>
      </c>
      <c r="F8">
        <v>88</v>
      </c>
      <c r="G8">
        <v>53.76</v>
      </c>
      <c r="H8">
        <v>4730.88</v>
      </c>
      <c r="I8" t="s">
        <v>13</v>
      </c>
      <c r="J8" t="s">
        <v>205</v>
      </c>
      <c r="K8">
        <v>1</v>
      </c>
    </row>
    <row r="9" spans="1:11" x14ac:dyDescent="0.3">
      <c r="A9" t="s">
        <v>31</v>
      </c>
      <c r="B9" s="31">
        <v>45682</v>
      </c>
      <c r="C9" t="s">
        <v>19</v>
      </c>
      <c r="D9" t="s">
        <v>20</v>
      </c>
      <c r="E9" t="s">
        <v>21</v>
      </c>
      <c r="F9">
        <v>30</v>
      </c>
      <c r="G9">
        <v>15.52</v>
      </c>
      <c r="H9">
        <v>465.59999999999997</v>
      </c>
      <c r="I9" t="s">
        <v>13</v>
      </c>
      <c r="J9" t="s">
        <v>205</v>
      </c>
      <c r="K9">
        <v>1</v>
      </c>
    </row>
    <row r="10" spans="1:11" x14ac:dyDescent="0.3">
      <c r="A10" t="s">
        <v>32</v>
      </c>
      <c r="B10" s="31">
        <v>45683</v>
      </c>
      <c r="C10" t="s">
        <v>33</v>
      </c>
      <c r="D10" t="s">
        <v>34</v>
      </c>
      <c r="E10" t="s">
        <v>21</v>
      </c>
      <c r="F10">
        <v>118</v>
      </c>
      <c r="G10">
        <v>27.28</v>
      </c>
      <c r="H10">
        <v>3219.04</v>
      </c>
      <c r="I10" t="s">
        <v>13</v>
      </c>
      <c r="J10" t="s">
        <v>205</v>
      </c>
      <c r="K10">
        <v>1</v>
      </c>
    </row>
    <row r="11" spans="1:11" x14ac:dyDescent="0.3">
      <c r="A11" t="s">
        <v>35</v>
      </c>
      <c r="B11" s="31">
        <v>45684</v>
      </c>
      <c r="C11" t="s">
        <v>25</v>
      </c>
      <c r="D11" t="s">
        <v>26</v>
      </c>
      <c r="E11" t="s">
        <v>21</v>
      </c>
      <c r="F11">
        <v>18</v>
      </c>
      <c r="G11">
        <v>71.91</v>
      </c>
      <c r="H11">
        <v>1294.3799999999999</v>
      </c>
      <c r="I11" t="s">
        <v>22</v>
      </c>
      <c r="J11" t="s">
        <v>205</v>
      </c>
      <c r="K11">
        <v>1</v>
      </c>
    </row>
    <row r="12" spans="1:11" x14ac:dyDescent="0.3">
      <c r="A12" t="s">
        <v>36</v>
      </c>
      <c r="B12" s="31">
        <v>45684</v>
      </c>
      <c r="C12" t="s">
        <v>25</v>
      </c>
      <c r="D12" t="s">
        <v>26</v>
      </c>
      <c r="E12" t="s">
        <v>30</v>
      </c>
      <c r="F12">
        <v>71</v>
      </c>
      <c r="G12">
        <v>63.23</v>
      </c>
      <c r="H12">
        <v>4489.33</v>
      </c>
      <c r="I12" t="s">
        <v>13</v>
      </c>
      <c r="J12" t="s">
        <v>205</v>
      </c>
      <c r="K12">
        <v>1</v>
      </c>
    </row>
    <row r="13" spans="1:11" x14ac:dyDescent="0.3">
      <c r="A13" t="s">
        <v>37</v>
      </c>
      <c r="B13" s="31">
        <v>45685</v>
      </c>
      <c r="C13" t="s">
        <v>33</v>
      </c>
      <c r="D13" t="s">
        <v>34</v>
      </c>
      <c r="E13" t="s">
        <v>28</v>
      </c>
      <c r="F13">
        <v>26</v>
      </c>
      <c r="G13">
        <v>30.17</v>
      </c>
      <c r="H13">
        <v>784.42000000000007</v>
      </c>
      <c r="I13" t="s">
        <v>17</v>
      </c>
      <c r="J13" t="s">
        <v>205</v>
      </c>
      <c r="K13">
        <v>1</v>
      </c>
    </row>
    <row r="14" spans="1:11" x14ac:dyDescent="0.3">
      <c r="A14" t="s">
        <v>38</v>
      </c>
      <c r="B14" s="31">
        <v>45688</v>
      </c>
      <c r="C14" t="s">
        <v>10</v>
      </c>
      <c r="D14" t="s">
        <v>11</v>
      </c>
      <c r="E14" t="s">
        <v>28</v>
      </c>
      <c r="F14">
        <v>59</v>
      </c>
      <c r="G14">
        <v>48.15</v>
      </c>
      <c r="H14">
        <v>2840.85</v>
      </c>
      <c r="I14" t="s">
        <v>17</v>
      </c>
      <c r="J14" t="s">
        <v>205</v>
      </c>
      <c r="K14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AF3CC-3E1F-4D61-8E72-9A2F94E24710}">
  <dimension ref="A3:Q23"/>
  <sheetViews>
    <sheetView topLeftCell="C1" workbookViewId="0">
      <selection activeCell="P10" sqref="P10:Q15"/>
    </sheetView>
  </sheetViews>
  <sheetFormatPr defaultRowHeight="14.4" x14ac:dyDescent="0.3"/>
  <cols>
    <col min="1" max="1" width="12.5546875" bestFit="1" customWidth="1"/>
    <col min="2" max="2" width="20.33203125" bestFit="1" customWidth="1"/>
    <col min="3" max="3" width="18.5546875" bestFit="1" customWidth="1"/>
    <col min="4" max="4" width="9.21875" bestFit="1" customWidth="1"/>
    <col min="5" max="5" width="15.88671875" bestFit="1" customWidth="1"/>
    <col min="6" max="6" width="23.109375" bestFit="1" customWidth="1"/>
    <col min="7" max="7" width="20.33203125" bestFit="1" customWidth="1"/>
    <col min="11" max="11" width="14" bestFit="1" customWidth="1"/>
    <col min="12" max="12" width="20.33203125" bestFit="1" customWidth="1"/>
    <col min="16" max="16" width="12.5546875" bestFit="1" customWidth="1"/>
    <col min="17" max="17" width="15.88671875" bestFit="1" customWidth="1"/>
  </cols>
  <sheetData>
    <row r="3" spans="1:17" x14ac:dyDescent="0.3">
      <c r="A3" s="26" t="s">
        <v>227</v>
      </c>
    </row>
    <row r="4" spans="1:17" x14ac:dyDescent="0.3">
      <c r="A4" s="27" t="s">
        <v>228</v>
      </c>
      <c r="B4" s="28">
        <v>372632.58999999997</v>
      </c>
    </row>
    <row r="5" spans="1:17" x14ac:dyDescent="0.3">
      <c r="A5" s="27" t="s">
        <v>225</v>
      </c>
      <c r="B5" s="25">
        <v>160</v>
      </c>
    </row>
    <row r="6" spans="1:17" x14ac:dyDescent="0.3">
      <c r="A6" s="27" t="s">
        <v>224</v>
      </c>
      <c r="B6" s="29">
        <v>2328.9536874999999</v>
      </c>
    </row>
    <row r="7" spans="1:17" x14ac:dyDescent="0.3">
      <c r="A7" s="27" t="s">
        <v>226</v>
      </c>
      <c r="B7" s="29">
        <v>10206</v>
      </c>
    </row>
    <row r="10" spans="1:17" x14ac:dyDescent="0.3">
      <c r="A10" s="26" t="s">
        <v>221</v>
      </c>
      <c r="B10" t="s">
        <v>220</v>
      </c>
      <c r="F10" s="26" t="s">
        <v>221</v>
      </c>
      <c r="G10" t="s">
        <v>220</v>
      </c>
      <c r="K10" s="26" t="s">
        <v>221</v>
      </c>
      <c r="L10" t="s">
        <v>220</v>
      </c>
      <c r="P10" s="26" t="s">
        <v>221</v>
      </c>
      <c r="Q10" t="s">
        <v>223</v>
      </c>
    </row>
    <row r="11" spans="1:17" x14ac:dyDescent="0.3">
      <c r="A11" s="27" t="s">
        <v>205</v>
      </c>
      <c r="B11" s="29">
        <v>31602.189999999995</v>
      </c>
      <c r="F11" s="27" t="s">
        <v>10</v>
      </c>
      <c r="G11" s="29">
        <v>104778.49</v>
      </c>
      <c r="K11" s="27" t="s">
        <v>21</v>
      </c>
      <c r="L11" s="29">
        <v>97220.67</v>
      </c>
      <c r="P11" s="27" t="s">
        <v>13</v>
      </c>
      <c r="Q11" s="25">
        <v>83</v>
      </c>
    </row>
    <row r="12" spans="1:17" x14ac:dyDescent="0.3">
      <c r="A12" s="27" t="s">
        <v>206</v>
      </c>
      <c r="B12" s="29">
        <v>40013.199999999997</v>
      </c>
      <c r="F12" s="27" t="s">
        <v>25</v>
      </c>
      <c r="G12" s="29">
        <v>101675.76000000002</v>
      </c>
      <c r="K12" s="27" t="s">
        <v>28</v>
      </c>
      <c r="L12" s="29">
        <v>94843.63</v>
      </c>
      <c r="P12" s="27" t="s">
        <v>17</v>
      </c>
      <c r="Q12" s="25">
        <v>26</v>
      </c>
    </row>
    <row r="13" spans="1:17" x14ac:dyDescent="0.3">
      <c r="A13" s="27" t="s">
        <v>207</v>
      </c>
      <c r="B13" s="29">
        <v>32340.81</v>
      </c>
      <c r="F13" s="27" t="s">
        <v>40</v>
      </c>
      <c r="G13" s="29">
        <v>69314.600000000006</v>
      </c>
      <c r="K13" s="27" t="s">
        <v>48</v>
      </c>
      <c r="L13" s="29">
        <v>69682.600000000006</v>
      </c>
      <c r="P13" s="27" t="s">
        <v>42</v>
      </c>
      <c r="Q13" s="25">
        <v>16</v>
      </c>
    </row>
    <row r="14" spans="1:17" x14ac:dyDescent="0.3">
      <c r="A14" s="27" t="s">
        <v>208</v>
      </c>
      <c r="B14" s="29">
        <v>9843.7199999999993</v>
      </c>
      <c r="F14" s="27" t="s">
        <v>33</v>
      </c>
      <c r="G14" s="29">
        <v>44953.72</v>
      </c>
      <c r="K14" s="27" t="s">
        <v>12</v>
      </c>
      <c r="L14" s="29">
        <v>50117.74</v>
      </c>
      <c r="P14" s="27" t="s">
        <v>22</v>
      </c>
      <c r="Q14" s="25">
        <v>35</v>
      </c>
    </row>
    <row r="15" spans="1:17" x14ac:dyDescent="0.3">
      <c r="A15" s="27" t="s">
        <v>209</v>
      </c>
      <c r="B15" s="29">
        <v>44555.840000000004</v>
      </c>
      <c r="F15" s="27" t="s">
        <v>15</v>
      </c>
      <c r="G15" s="29">
        <v>30270.920000000006</v>
      </c>
      <c r="K15" s="27" t="s">
        <v>30</v>
      </c>
      <c r="L15" s="29">
        <v>42199.35</v>
      </c>
      <c r="P15" s="27" t="s">
        <v>222</v>
      </c>
      <c r="Q15" s="25">
        <v>160</v>
      </c>
    </row>
    <row r="16" spans="1:17" x14ac:dyDescent="0.3">
      <c r="A16" s="27" t="s">
        <v>210</v>
      </c>
      <c r="B16" s="29">
        <v>8822.7199999999993</v>
      </c>
      <c r="F16" s="27" t="s">
        <v>19</v>
      </c>
      <c r="G16" s="29">
        <v>21639.100000000006</v>
      </c>
      <c r="K16" s="27" t="s">
        <v>45</v>
      </c>
      <c r="L16" s="29">
        <v>18568.599999999999</v>
      </c>
    </row>
    <row r="17" spans="1:12" x14ac:dyDescent="0.3">
      <c r="A17" s="27" t="s">
        <v>211</v>
      </c>
      <c r="B17" s="29">
        <v>35181.800000000003</v>
      </c>
      <c r="F17" s="27" t="s">
        <v>222</v>
      </c>
      <c r="G17" s="29">
        <v>372632.59000000008</v>
      </c>
      <c r="K17" s="27" t="s">
        <v>222</v>
      </c>
      <c r="L17" s="29">
        <v>372632.59</v>
      </c>
    </row>
    <row r="18" spans="1:12" x14ac:dyDescent="0.3">
      <c r="A18" s="27" t="s">
        <v>212</v>
      </c>
      <c r="B18" s="29">
        <v>43724.84</v>
      </c>
    </row>
    <row r="19" spans="1:12" x14ac:dyDescent="0.3">
      <c r="A19" s="27" t="s">
        <v>213</v>
      </c>
      <c r="B19" s="29">
        <v>28679.82</v>
      </c>
    </row>
    <row r="20" spans="1:12" x14ac:dyDescent="0.3">
      <c r="A20" s="27" t="s">
        <v>214</v>
      </c>
      <c r="B20" s="29">
        <v>36619.31</v>
      </c>
    </row>
    <row r="21" spans="1:12" x14ac:dyDescent="0.3">
      <c r="A21" s="27" t="s">
        <v>215</v>
      </c>
      <c r="B21" s="29">
        <v>24384.440000000002</v>
      </c>
    </row>
    <row r="22" spans="1:12" x14ac:dyDescent="0.3">
      <c r="A22" s="27" t="s">
        <v>216</v>
      </c>
      <c r="B22" s="29">
        <v>36863.9</v>
      </c>
    </row>
    <row r="23" spans="1:12" x14ac:dyDescent="0.3">
      <c r="A23" s="27" t="s">
        <v>222</v>
      </c>
      <c r="B23" s="29">
        <v>372632.58999999997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208F1-0949-4655-988C-7E542FCC9766}">
  <dimension ref="A1:M23"/>
  <sheetViews>
    <sheetView showGridLines="0" tabSelected="1" topLeftCell="A9" zoomScaleNormal="100" workbookViewId="0">
      <selection activeCell="K20" sqref="K20"/>
    </sheetView>
  </sheetViews>
  <sheetFormatPr defaultRowHeight="13.8" x14ac:dyDescent="0.25"/>
  <cols>
    <col min="1" max="1" width="8.88671875" style="35"/>
    <col min="2" max="2" width="16.109375" style="35" customWidth="1"/>
    <col min="3" max="3" width="12.77734375" style="35" customWidth="1"/>
    <col min="4" max="4" width="8.88671875" style="35"/>
    <col min="5" max="5" width="26" style="35" customWidth="1"/>
    <col min="6" max="6" width="12.109375" style="35" customWidth="1"/>
    <col min="7" max="7" width="8.88671875" style="35"/>
    <col min="8" max="8" width="18" style="35" customWidth="1"/>
    <col min="9" max="9" width="13" style="35" customWidth="1"/>
    <col min="10" max="10" width="8.88671875" style="35"/>
    <col min="11" max="11" width="14.6640625" style="35" customWidth="1"/>
    <col min="12" max="12" width="12.88671875" style="35" customWidth="1"/>
    <col min="13" max="16384" width="8.88671875" style="35"/>
  </cols>
  <sheetData>
    <row r="1" spans="1:13" s="35" customFormat="1" ht="14.4" customHeight="1" x14ac:dyDescent="0.25">
      <c r="A1" s="33"/>
      <c r="B1" s="32" t="s">
        <v>191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3" s="35" customFormat="1" ht="14.4" customHeight="1" x14ac:dyDescent="0.25">
      <c r="A2" s="33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13" s="35" customFormat="1" x14ac:dyDescent="0.25"/>
    <row r="4" spans="1:13" s="35" customFormat="1" x14ac:dyDescent="0.25"/>
    <row r="5" spans="1:13" s="35" customFormat="1" x14ac:dyDescent="0.25">
      <c r="A5" s="48"/>
      <c r="B5" s="30" t="s">
        <v>192</v>
      </c>
      <c r="C5" s="30"/>
      <c r="D5" s="30"/>
      <c r="E5" s="30" t="s">
        <v>193</v>
      </c>
      <c r="F5" s="30"/>
      <c r="G5" s="30"/>
      <c r="H5" s="30" t="s">
        <v>194</v>
      </c>
      <c r="I5" s="30"/>
      <c r="J5" s="30"/>
      <c r="K5" s="30" t="s">
        <v>195</v>
      </c>
      <c r="L5" s="30"/>
      <c r="M5" s="30"/>
    </row>
    <row r="6" spans="1:13" s="35" customFormat="1" ht="14.4" customHeight="1" x14ac:dyDescent="0.25">
      <c r="A6" s="34"/>
      <c r="B6" s="9">
        <f>GETPIVOTDATA("Total Revenue",'02_Pivot_Tables'!$A$3)</f>
        <v>372632.58999999997</v>
      </c>
      <c r="C6" s="9"/>
      <c r="D6" s="9"/>
      <c r="E6" s="10">
        <f>GETPIVOTDATA("Total Orders",'02_Pivot_Tables'!$A$3)</f>
        <v>160</v>
      </c>
      <c r="F6" s="10"/>
      <c r="G6" s="10"/>
      <c r="H6" s="9">
        <f>GETPIVOTDATA("Average Order Value",'02_Pivot_Tables'!$A$3)</f>
        <v>2328.9536874999999</v>
      </c>
      <c r="I6" s="9"/>
      <c r="J6" s="9"/>
      <c r="K6" s="10">
        <f>GETPIVOTDATA("Units sold",'02_Pivot_Tables'!$A$3)</f>
        <v>10206</v>
      </c>
      <c r="L6" s="10"/>
      <c r="M6" s="10"/>
    </row>
    <row r="7" spans="1:13" s="35" customFormat="1" ht="14.4" customHeight="1" x14ac:dyDescent="0.25">
      <c r="A7" s="34"/>
      <c r="B7" s="9"/>
      <c r="C7" s="9"/>
      <c r="D7" s="9"/>
      <c r="E7" s="10"/>
      <c r="F7" s="10"/>
      <c r="G7" s="10"/>
      <c r="H7" s="9"/>
      <c r="I7" s="9"/>
      <c r="J7" s="9"/>
      <c r="K7" s="10"/>
      <c r="L7" s="10"/>
      <c r="M7" s="10"/>
    </row>
    <row r="8" spans="1:13" s="35" customFormat="1" x14ac:dyDescent="0.25">
      <c r="D8" s="49"/>
      <c r="E8" s="49"/>
      <c r="F8" s="49"/>
      <c r="G8" s="49"/>
    </row>
    <row r="9" spans="1:13" s="35" customFormat="1" ht="19.8" customHeight="1" x14ac:dyDescent="0.25">
      <c r="B9" s="43" t="s">
        <v>196</v>
      </c>
      <c r="C9" s="43"/>
      <c r="D9" s="50"/>
      <c r="E9" s="43" t="s">
        <v>197</v>
      </c>
      <c r="F9" s="43"/>
      <c r="G9" s="51"/>
      <c r="H9" s="43" t="s">
        <v>198</v>
      </c>
      <c r="I9" s="43"/>
      <c r="J9" s="51"/>
      <c r="K9" s="43" t="s">
        <v>199</v>
      </c>
      <c r="L9" s="43"/>
    </row>
    <row r="10" spans="1:13" s="35" customFormat="1" x14ac:dyDescent="0.25">
      <c r="B10" s="37" t="s">
        <v>200</v>
      </c>
      <c r="C10" s="38" t="s">
        <v>201</v>
      </c>
      <c r="D10" s="36"/>
      <c r="E10" s="44" t="s">
        <v>2</v>
      </c>
      <c r="F10" s="45" t="s">
        <v>201</v>
      </c>
      <c r="G10" s="36"/>
      <c r="H10" s="44" t="s">
        <v>202</v>
      </c>
      <c r="I10" s="45" t="s">
        <v>201</v>
      </c>
      <c r="J10" s="36"/>
      <c r="K10" s="44" t="s">
        <v>203</v>
      </c>
      <c r="L10" s="45" t="s">
        <v>204</v>
      </c>
    </row>
    <row r="11" spans="1:13" s="35" customFormat="1" x14ac:dyDescent="0.25">
      <c r="B11" s="39" t="s">
        <v>205</v>
      </c>
      <c r="C11" s="40">
        <v>31602.189999999995</v>
      </c>
      <c r="D11" s="36"/>
      <c r="E11" s="39" t="s">
        <v>10</v>
      </c>
      <c r="F11" s="40">
        <v>104778.49</v>
      </c>
      <c r="G11" s="36"/>
      <c r="H11" s="39" t="s">
        <v>45</v>
      </c>
      <c r="I11" s="40">
        <v>18568.599999999999</v>
      </c>
      <c r="J11" s="36"/>
      <c r="K11" s="39" t="s">
        <v>13</v>
      </c>
      <c r="L11" s="46">
        <v>83</v>
      </c>
    </row>
    <row r="12" spans="1:13" s="35" customFormat="1" x14ac:dyDescent="0.25">
      <c r="B12" s="39" t="s">
        <v>206</v>
      </c>
      <c r="C12" s="40">
        <v>40013.199999999997</v>
      </c>
      <c r="D12" s="36"/>
      <c r="E12" s="39" t="s">
        <v>25</v>
      </c>
      <c r="F12" s="40">
        <v>101675.76000000002</v>
      </c>
      <c r="G12" s="36"/>
      <c r="H12" s="39" t="s">
        <v>30</v>
      </c>
      <c r="I12" s="40">
        <v>42199.35</v>
      </c>
      <c r="J12" s="36"/>
      <c r="K12" s="39" t="s">
        <v>17</v>
      </c>
      <c r="L12" s="46">
        <v>26</v>
      </c>
    </row>
    <row r="13" spans="1:13" s="35" customFormat="1" x14ac:dyDescent="0.25">
      <c r="B13" s="39" t="s">
        <v>207</v>
      </c>
      <c r="C13" s="40">
        <v>32340.81</v>
      </c>
      <c r="D13" s="36"/>
      <c r="E13" s="39" t="s">
        <v>40</v>
      </c>
      <c r="F13" s="40">
        <v>69314.600000000006</v>
      </c>
      <c r="G13" s="36"/>
      <c r="H13" s="39" t="s">
        <v>48</v>
      </c>
      <c r="I13" s="40">
        <v>69682.600000000006</v>
      </c>
      <c r="J13" s="36"/>
      <c r="K13" s="39" t="s">
        <v>42</v>
      </c>
      <c r="L13" s="46">
        <v>16</v>
      </c>
    </row>
    <row r="14" spans="1:13" s="35" customFormat="1" x14ac:dyDescent="0.25">
      <c r="B14" s="39" t="s">
        <v>208</v>
      </c>
      <c r="C14" s="40">
        <v>9843.7199999999993</v>
      </c>
      <c r="D14" s="36"/>
      <c r="E14" s="39" t="s">
        <v>33</v>
      </c>
      <c r="F14" s="40">
        <v>44953.72</v>
      </c>
      <c r="G14" s="36"/>
      <c r="H14" s="39" t="s">
        <v>12</v>
      </c>
      <c r="I14" s="40">
        <v>50117.74</v>
      </c>
      <c r="J14" s="36"/>
      <c r="K14" s="39" t="s">
        <v>22</v>
      </c>
      <c r="L14" s="46">
        <v>35</v>
      </c>
    </row>
    <row r="15" spans="1:13" s="35" customFormat="1" x14ac:dyDescent="0.25">
      <c r="B15" s="39" t="s">
        <v>209</v>
      </c>
      <c r="C15" s="40">
        <v>44555.840000000004</v>
      </c>
      <c r="D15" s="36"/>
      <c r="E15" s="39" t="s">
        <v>15</v>
      </c>
      <c r="F15" s="40">
        <v>30270.920000000006</v>
      </c>
      <c r="G15" s="36"/>
      <c r="H15" s="39" t="s">
        <v>21</v>
      </c>
      <c r="I15" s="40">
        <v>97220.67</v>
      </c>
      <c r="J15" s="36"/>
      <c r="K15" s="41" t="s">
        <v>222</v>
      </c>
      <c r="L15" s="47">
        <v>160</v>
      </c>
    </row>
    <row r="16" spans="1:13" s="35" customFormat="1" x14ac:dyDescent="0.25">
      <c r="B16" s="39" t="s">
        <v>210</v>
      </c>
      <c r="C16" s="40">
        <v>8822.7199999999993</v>
      </c>
      <c r="D16" s="36"/>
      <c r="E16" s="39" t="s">
        <v>19</v>
      </c>
      <c r="F16" s="40">
        <v>21639.100000000006</v>
      </c>
      <c r="G16" s="36"/>
      <c r="H16" s="39" t="s">
        <v>28</v>
      </c>
      <c r="I16" s="40">
        <v>94843.63</v>
      </c>
      <c r="J16" s="36"/>
      <c r="K16" s="36"/>
      <c r="L16" s="36"/>
    </row>
    <row r="17" spans="2:12" s="35" customFormat="1" x14ac:dyDescent="0.25">
      <c r="B17" s="39" t="s">
        <v>211</v>
      </c>
      <c r="C17" s="40">
        <v>35181.800000000003</v>
      </c>
      <c r="D17" s="36"/>
      <c r="E17" s="41" t="s">
        <v>222</v>
      </c>
      <c r="F17" s="42">
        <v>372632.59000000008</v>
      </c>
      <c r="G17" s="36"/>
      <c r="H17" s="41" t="s">
        <v>222</v>
      </c>
      <c r="I17" s="42">
        <v>372632.59</v>
      </c>
      <c r="J17" s="36"/>
      <c r="K17" s="36"/>
      <c r="L17" s="36"/>
    </row>
    <row r="18" spans="2:12" s="35" customFormat="1" x14ac:dyDescent="0.25">
      <c r="B18" s="39" t="s">
        <v>212</v>
      </c>
      <c r="C18" s="40">
        <v>43724.84</v>
      </c>
      <c r="D18" s="36"/>
      <c r="E18" s="36"/>
      <c r="F18" s="36"/>
      <c r="G18" s="36"/>
      <c r="H18" s="36"/>
      <c r="I18" s="36"/>
      <c r="J18" s="36"/>
      <c r="K18" s="36"/>
      <c r="L18" s="36"/>
    </row>
    <row r="19" spans="2:12" s="35" customFormat="1" x14ac:dyDescent="0.25">
      <c r="B19" s="39" t="s">
        <v>213</v>
      </c>
      <c r="C19" s="40">
        <v>28679.82</v>
      </c>
      <c r="D19" s="36"/>
      <c r="E19" s="36"/>
      <c r="F19" s="36"/>
      <c r="G19" s="36"/>
      <c r="H19" s="36"/>
      <c r="I19" s="36"/>
      <c r="J19" s="36"/>
      <c r="K19" s="36"/>
      <c r="L19" s="36"/>
    </row>
    <row r="20" spans="2:12" s="35" customFormat="1" x14ac:dyDescent="0.25">
      <c r="B20" s="39" t="s">
        <v>214</v>
      </c>
      <c r="C20" s="40">
        <v>36619.31</v>
      </c>
      <c r="D20" s="36"/>
      <c r="E20" s="36"/>
      <c r="F20" s="36"/>
      <c r="G20" s="36"/>
      <c r="H20" s="36"/>
      <c r="I20" s="36"/>
      <c r="J20" s="36"/>
      <c r="K20" s="36"/>
      <c r="L20" s="36"/>
    </row>
    <row r="21" spans="2:12" s="35" customFormat="1" x14ac:dyDescent="0.25">
      <c r="B21" s="39" t="s">
        <v>215</v>
      </c>
      <c r="C21" s="40">
        <v>24384.440000000002</v>
      </c>
      <c r="D21" s="36"/>
      <c r="E21" s="36"/>
      <c r="F21" s="36"/>
      <c r="G21" s="36"/>
      <c r="H21" s="36"/>
      <c r="I21" s="36"/>
      <c r="J21" s="36"/>
      <c r="K21" s="36"/>
      <c r="L21" s="36"/>
    </row>
    <row r="22" spans="2:12" s="35" customFormat="1" x14ac:dyDescent="0.25">
      <c r="B22" s="39" t="s">
        <v>216</v>
      </c>
      <c r="C22" s="40">
        <v>36863.9</v>
      </c>
      <c r="D22" s="36"/>
      <c r="E22" s="36"/>
      <c r="F22" s="36"/>
      <c r="G22" s="36"/>
      <c r="H22" s="36"/>
      <c r="I22" s="36"/>
      <c r="J22" s="36"/>
      <c r="K22" s="36"/>
      <c r="L22" s="36"/>
    </row>
    <row r="23" spans="2:12" s="35" customFormat="1" x14ac:dyDescent="0.25">
      <c r="B23" s="41" t="s">
        <v>222</v>
      </c>
      <c r="C23" s="42">
        <v>372632.58999999997</v>
      </c>
      <c r="D23" s="36"/>
      <c r="E23" s="36"/>
      <c r="F23" s="36"/>
      <c r="G23" s="36"/>
      <c r="H23" s="36"/>
      <c r="I23" s="36"/>
      <c r="J23" s="36"/>
      <c r="K23" s="36"/>
      <c r="L23" s="36"/>
    </row>
  </sheetData>
  <mergeCells count="13">
    <mergeCell ref="K5:M5"/>
    <mergeCell ref="B6:D7"/>
    <mergeCell ref="E6:G7"/>
    <mergeCell ref="H6:J7"/>
    <mergeCell ref="K6:M7"/>
    <mergeCell ref="B9:C9"/>
    <mergeCell ref="E9:F9"/>
    <mergeCell ref="H9:I9"/>
    <mergeCell ref="K9:L9"/>
    <mergeCell ref="B1:M2"/>
    <mergeCell ref="B5:D5"/>
    <mergeCell ref="E5:G5"/>
    <mergeCell ref="H5:J5"/>
  </mergeCells>
  <pageMargins left="0.7" right="0.7" top="0.75" bottom="0.75" header="0.3" footer="0.3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showGridLines="0" zoomScaleNormal="100" workbookViewId="0">
      <selection activeCell="B28" sqref="B28"/>
    </sheetView>
  </sheetViews>
  <sheetFormatPr defaultColWidth="8.6640625" defaultRowHeight="14.4" x14ac:dyDescent="0.3"/>
  <cols>
    <col min="1" max="1" width="26" customWidth="1"/>
    <col min="2" max="4" width="16" customWidth="1"/>
  </cols>
  <sheetData>
    <row r="1" spans="1:4" x14ac:dyDescent="0.3">
      <c r="A1" s="8" t="s">
        <v>2</v>
      </c>
      <c r="B1" s="8" t="s">
        <v>217</v>
      </c>
      <c r="C1" s="8" t="s">
        <v>218</v>
      </c>
      <c r="D1" s="8" t="s">
        <v>203</v>
      </c>
    </row>
    <row r="2" spans="1:4" x14ac:dyDescent="0.3">
      <c r="A2" s="4" t="s">
        <v>19</v>
      </c>
      <c r="B2" s="5">
        <v>48</v>
      </c>
      <c r="C2" s="5">
        <v>60</v>
      </c>
      <c r="D2" s="5" t="str">
        <f t="shared" ref="D2:D7" si="0">IF(B2&lt;=C2,"REORDER","OK")</f>
        <v>REORDER</v>
      </c>
    </row>
    <row r="3" spans="1:4" x14ac:dyDescent="0.3">
      <c r="A3" s="4" t="s">
        <v>10</v>
      </c>
      <c r="B3" s="5">
        <v>22</v>
      </c>
      <c r="C3" s="5">
        <v>20</v>
      </c>
      <c r="D3" s="5" t="str">
        <f t="shared" si="0"/>
        <v>OK</v>
      </c>
    </row>
    <row r="4" spans="1:4" x14ac:dyDescent="0.3">
      <c r="A4" s="4" t="s">
        <v>25</v>
      </c>
      <c r="B4" s="5">
        <v>9</v>
      </c>
      <c r="C4" s="5">
        <v>25</v>
      </c>
      <c r="D4" s="5" t="str">
        <f t="shared" si="0"/>
        <v>REORDER</v>
      </c>
    </row>
    <row r="5" spans="1:4" x14ac:dyDescent="0.3">
      <c r="A5" s="4" t="s">
        <v>40</v>
      </c>
      <c r="B5" s="5">
        <v>70</v>
      </c>
      <c r="C5" s="5">
        <v>40</v>
      </c>
      <c r="D5" s="5" t="str">
        <f t="shared" si="0"/>
        <v>OK</v>
      </c>
    </row>
    <row r="6" spans="1:4" x14ac:dyDescent="0.3">
      <c r="A6" s="4" t="s">
        <v>33</v>
      </c>
      <c r="B6" s="5">
        <v>15</v>
      </c>
      <c r="C6" s="5">
        <v>30</v>
      </c>
      <c r="D6" s="5" t="str">
        <f t="shared" si="0"/>
        <v>REORDER</v>
      </c>
    </row>
    <row r="7" spans="1:4" x14ac:dyDescent="0.3">
      <c r="A7" s="4" t="s">
        <v>15</v>
      </c>
      <c r="B7" s="5">
        <v>55</v>
      </c>
      <c r="C7" s="5">
        <v>35</v>
      </c>
      <c r="D7" s="5" t="str">
        <f t="shared" si="0"/>
        <v>OK</v>
      </c>
    </row>
    <row r="9" spans="1:4" x14ac:dyDescent="0.3">
      <c r="A9" s="6"/>
    </row>
  </sheetData>
  <conditionalFormatting sqref="D2:D7">
    <cfRule type="cellIs" dxfId="128" priority="2" operator="equal">
      <formula>"REORDER"</formula>
    </cfRule>
    <cfRule type="cellIs" dxfId="127" priority="3" operator="equal">
      <formula>"OK"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01_Sales_Data</vt:lpstr>
      <vt:lpstr>Sheet5</vt:lpstr>
      <vt:lpstr>Sheet6</vt:lpstr>
      <vt:lpstr>02_Pivot_Tables</vt:lpstr>
      <vt:lpstr>02_Dashboard</vt:lpstr>
      <vt:lpstr>03_Inventory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Ashfiqun mustari</cp:lastModifiedBy>
  <cp:revision>1</cp:revision>
  <dcterms:created xsi:type="dcterms:W3CDTF">2026-07-27T22:03:38Z</dcterms:created>
  <dcterms:modified xsi:type="dcterms:W3CDTF">2026-07-28T00:49:40Z</dcterms:modified>
  <dc:language>en-US</dc:language>
</cp:coreProperties>
</file>